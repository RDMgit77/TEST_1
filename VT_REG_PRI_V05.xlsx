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Demo_models\DemoS_005\"/>
    </mc:Choice>
  </mc:AlternateContent>
  <xr:revisionPtr revIDLastSave="0" documentId="13_ncr:1_{12822C97-AF5E-4CB0-884E-7229EBEE1F05}" xr6:coauthVersionLast="45" xr6:coauthVersionMax="45" xr10:uidLastSave="{00000000-0000-0000-0000-000000000000}"/>
  <bookViews>
    <workbookView xWindow="-120" yWindow="-120" windowWidth="29040" windowHeight="15990" tabRatio="901" activeTab="3" xr2:uid="{00000000-000D-0000-FFFF-FFFF00000000}"/>
  </bookViews>
  <sheets>
    <sheet name="EnergyBalance" sheetId="133" r:id="rId1"/>
    <sheet name="EB1" sheetId="145" r:id="rId2"/>
    <sheet name="EB2" sheetId="146" r:id="rId3"/>
    <sheet name="RES&amp;OBJ" sheetId="149" r:id="rId4"/>
    <sheet name="Pri_COA" sheetId="132" r:id="rId5"/>
    <sheet name="Pri_GAS" sheetId="136" r:id="rId6"/>
    <sheet name="Pri_OIL" sheetId="137" r:id="rId7"/>
    <sheet name="Pri_RNW" sheetId="142" r:id="rId8"/>
    <sheet name="Pri_NUC" sheetId="144" r:id="rId9"/>
    <sheet name="Sector_Fuels" sheetId="140" r:id="rId10"/>
    <sheet name="Con_ELC" sheetId="143" r:id="rId11"/>
    <sheet name="DemTechs_TPS" sheetId="147" r:id="rId12"/>
    <sheet name="DemTechs_ELC" sheetId="148" r:id="rId13"/>
    <sheet name="DemTechs_RSD" sheetId="138" r:id="rId14"/>
    <sheet name="DemTechs_TRA" sheetId="141" r:id="rId15"/>
    <sheet name="Demands" sheetId="134" r:id="rId16"/>
  </sheets>
  <externalReferences>
    <externalReference r:id="rId1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143" l="1"/>
  <c r="P23" i="143"/>
  <c r="P21" i="143"/>
  <c r="P17" i="143"/>
  <c r="P15" i="143"/>
  <c r="P13" i="143"/>
  <c r="M15" i="141"/>
  <c r="M13" i="141"/>
  <c r="M15" i="138"/>
  <c r="M13" i="138"/>
  <c r="F2" i="148"/>
  <c r="J11" i="148" s="1"/>
  <c r="E2" i="148"/>
  <c r="F11" i="148" s="1"/>
  <c r="C2" i="148"/>
  <c r="B2" i="148"/>
  <c r="F2" i="147"/>
  <c r="E2" i="147"/>
  <c r="F11" i="147" s="1"/>
  <c r="C2" i="147"/>
  <c r="B2" i="147"/>
  <c r="O5" i="147" s="1"/>
  <c r="D12" i="147" s="1"/>
  <c r="J12" i="148"/>
  <c r="D2" i="148"/>
  <c r="P12" i="148" s="1"/>
  <c r="O12" i="148" s="1"/>
  <c r="B12" i="148" s="1"/>
  <c r="C12" i="148" s="1"/>
  <c r="J12" i="147"/>
  <c r="D2" i="147"/>
  <c r="P11" i="143"/>
  <c r="M11" i="141"/>
  <c r="J14" i="141"/>
  <c r="J12" i="141"/>
  <c r="M11" i="138"/>
  <c r="J14" i="138"/>
  <c r="J12" i="138"/>
  <c r="Q13" i="138"/>
  <c r="B14" i="138" s="1"/>
  <c r="H11" i="143"/>
  <c r="G11" i="143"/>
  <c r="F11" i="143"/>
  <c r="E11" i="143"/>
  <c r="AB17" i="143"/>
  <c r="AB18" i="143"/>
  <c r="AB19" i="143"/>
  <c r="F19" i="137"/>
  <c r="F18" i="137"/>
  <c r="F16" i="137"/>
  <c r="F15" i="137"/>
  <c r="F13" i="137"/>
  <c r="F12" i="137"/>
  <c r="H16" i="136"/>
  <c r="H15" i="132"/>
  <c r="L11" i="133"/>
  <c r="L6" i="140"/>
  <c r="D18" i="140" s="1"/>
  <c r="C18" i="140" s="1"/>
  <c r="L5" i="140"/>
  <c r="D17" i="140" s="1"/>
  <c r="C17" i="140" s="1"/>
  <c r="M18" i="140"/>
  <c r="M17" i="140"/>
  <c r="M6" i="140"/>
  <c r="F6" i="145"/>
  <c r="F6" i="146" s="1"/>
  <c r="F24" i="133"/>
  <c r="F21" i="145"/>
  <c r="F21" i="146"/>
  <c r="F20" i="145"/>
  <c r="E12" i="141"/>
  <c r="K24" i="133"/>
  <c r="K11" i="145"/>
  <c r="E2" i="141"/>
  <c r="S12" i="141"/>
  <c r="S5" i="141"/>
  <c r="C2" i="141"/>
  <c r="R11" i="141" s="1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7" i="133"/>
  <c r="L6" i="133"/>
  <c r="L5" i="133"/>
  <c r="K8" i="133"/>
  <c r="J8" i="133"/>
  <c r="J21" i="133" s="1"/>
  <c r="J24" i="133" s="1"/>
  <c r="I8" i="133"/>
  <c r="I21" i="133" s="1"/>
  <c r="H8" i="133"/>
  <c r="H21" i="133" s="1"/>
  <c r="G8" i="133"/>
  <c r="G21" i="133" s="1"/>
  <c r="F8" i="133"/>
  <c r="E8" i="133"/>
  <c r="E21" i="133" s="1"/>
  <c r="D8" i="133"/>
  <c r="D21" i="133" s="1"/>
  <c r="K23" i="145"/>
  <c r="K23" i="146" s="1"/>
  <c r="J23" i="145"/>
  <c r="J23" i="146" s="1"/>
  <c r="I23" i="145"/>
  <c r="I23" i="146" s="1"/>
  <c r="H23" i="145"/>
  <c r="H23" i="146" s="1"/>
  <c r="G23" i="145"/>
  <c r="G23" i="146" s="1"/>
  <c r="F23" i="145"/>
  <c r="F23" i="146" s="1"/>
  <c r="E23" i="145"/>
  <c r="E23" i="146" s="1"/>
  <c r="K22" i="145"/>
  <c r="K22" i="146" s="1"/>
  <c r="J22" i="145"/>
  <c r="J22" i="146" s="1"/>
  <c r="I22" i="145"/>
  <c r="I22" i="146" s="1"/>
  <c r="H22" i="145"/>
  <c r="H22" i="146" s="1"/>
  <c r="G22" i="145"/>
  <c r="G22" i="146" s="1"/>
  <c r="F22" i="145"/>
  <c r="F22" i="146" s="1"/>
  <c r="E22" i="145"/>
  <c r="E22" i="146" s="1"/>
  <c r="L22" i="146" s="1"/>
  <c r="K21" i="145"/>
  <c r="K21" i="146" s="1"/>
  <c r="K20" i="145"/>
  <c r="K20" i="146" s="1"/>
  <c r="J20" i="145"/>
  <c r="J20" i="146" s="1"/>
  <c r="I20" i="145"/>
  <c r="I20" i="146"/>
  <c r="H20" i="145"/>
  <c r="H20" i="146" s="1"/>
  <c r="G20" i="145"/>
  <c r="G20" i="146" s="1"/>
  <c r="E20" i="145"/>
  <c r="E20" i="146" s="1"/>
  <c r="K19" i="145"/>
  <c r="K19" i="146"/>
  <c r="J19" i="145"/>
  <c r="J19" i="146" s="1"/>
  <c r="I19" i="145"/>
  <c r="I19" i="146" s="1"/>
  <c r="H19" i="145"/>
  <c r="H19" i="146" s="1"/>
  <c r="G19" i="145"/>
  <c r="G19" i="146"/>
  <c r="F19" i="145"/>
  <c r="F19" i="146" s="1"/>
  <c r="E19" i="145"/>
  <c r="E19" i="146" s="1"/>
  <c r="K18" i="145"/>
  <c r="K18" i="146" s="1"/>
  <c r="J18" i="145"/>
  <c r="J18" i="146" s="1"/>
  <c r="I18" i="145"/>
  <c r="I18" i="146" s="1"/>
  <c r="H18" i="145"/>
  <c r="H18" i="146" s="1"/>
  <c r="G18" i="145"/>
  <c r="G18" i="146" s="1"/>
  <c r="F18" i="145"/>
  <c r="F18" i="146" s="1"/>
  <c r="E18" i="145"/>
  <c r="E18" i="146" s="1"/>
  <c r="K17" i="145"/>
  <c r="K17" i="146" s="1"/>
  <c r="J17" i="145"/>
  <c r="J17" i="146" s="1"/>
  <c r="I17" i="145"/>
  <c r="I17" i="146" s="1"/>
  <c r="H17" i="145"/>
  <c r="H17" i="146" s="1"/>
  <c r="G17" i="145"/>
  <c r="G17" i="146" s="1"/>
  <c r="F17" i="145"/>
  <c r="E17" i="145"/>
  <c r="E17" i="146" s="1"/>
  <c r="K16" i="145"/>
  <c r="K24" i="145" s="1"/>
  <c r="F12" i="134" s="1"/>
  <c r="J16" i="145"/>
  <c r="J16" i="146"/>
  <c r="I16" i="145"/>
  <c r="I16" i="146"/>
  <c r="H16" i="145"/>
  <c r="H16" i="146"/>
  <c r="G16" i="145"/>
  <c r="L16" i="145" s="1"/>
  <c r="G16" i="146"/>
  <c r="F16" i="145"/>
  <c r="F16" i="146"/>
  <c r="E16" i="145"/>
  <c r="E12" i="138" s="1"/>
  <c r="D23" i="145"/>
  <c r="D23" i="146" s="1"/>
  <c r="D22" i="145"/>
  <c r="D22" i="146" s="1"/>
  <c r="D20" i="145"/>
  <c r="D20" i="146" s="1"/>
  <c r="D19" i="145"/>
  <c r="L19" i="145" s="1"/>
  <c r="D18" i="145"/>
  <c r="D18" i="146" s="1"/>
  <c r="L18" i="146" s="1"/>
  <c r="D17" i="145"/>
  <c r="D17" i="146" s="1"/>
  <c r="D16" i="145"/>
  <c r="D16" i="146"/>
  <c r="K13" i="145"/>
  <c r="K13" i="146"/>
  <c r="K12" i="145"/>
  <c r="K12" i="146"/>
  <c r="K14" i="146" s="1"/>
  <c r="K10" i="145"/>
  <c r="K10" i="146"/>
  <c r="J13" i="145"/>
  <c r="J13" i="146"/>
  <c r="I13" i="145"/>
  <c r="I13" i="146"/>
  <c r="H13" i="145"/>
  <c r="L13" i="145" s="1"/>
  <c r="H13" i="146"/>
  <c r="G13" i="145"/>
  <c r="G13" i="146"/>
  <c r="F13" i="145"/>
  <c r="F13" i="146" s="1"/>
  <c r="E13" i="145"/>
  <c r="E13" i="146" s="1"/>
  <c r="J12" i="145"/>
  <c r="J12" i="146"/>
  <c r="I12" i="145"/>
  <c r="I12" i="146"/>
  <c r="H12" i="145"/>
  <c r="H12" i="146"/>
  <c r="G12" i="145"/>
  <c r="G12" i="146"/>
  <c r="F12" i="145"/>
  <c r="F12" i="146"/>
  <c r="E12" i="145"/>
  <c r="E12" i="146"/>
  <c r="J11" i="145"/>
  <c r="I11" i="145"/>
  <c r="I11" i="146" s="1"/>
  <c r="H11" i="145"/>
  <c r="G11" i="145"/>
  <c r="E19" i="143" s="1"/>
  <c r="F11" i="145"/>
  <c r="F14" i="145" s="1"/>
  <c r="E16" i="143"/>
  <c r="T16" i="143" s="1"/>
  <c r="E11" i="145"/>
  <c r="E11" i="146" s="1"/>
  <c r="F14" i="143" s="1"/>
  <c r="U14" i="143" s="1"/>
  <c r="J10" i="145"/>
  <c r="J10" i="146" s="1"/>
  <c r="I10" i="145"/>
  <c r="I14" i="145" s="1"/>
  <c r="H10" i="145"/>
  <c r="H10" i="146" s="1"/>
  <c r="G10" i="145"/>
  <c r="G14" i="145" s="1"/>
  <c r="F10" i="145"/>
  <c r="F10" i="146"/>
  <c r="E10" i="145"/>
  <c r="L10" i="145" s="1"/>
  <c r="E10" i="146"/>
  <c r="E14" i="146" s="1"/>
  <c r="D13" i="145"/>
  <c r="D13" i="146" s="1"/>
  <c r="L13" i="146" s="1"/>
  <c r="D12" i="145"/>
  <c r="L12" i="145" s="1"/>
  <c r="D11" i="145"/>
  <c r="D11" i="146"/>
  <c r="F12" i="143" s="1"/>
  <c r="U12" i="143" s="1"/>
  <c r="D10" i="145"/>
  <c r="K7" i="145"/>
  <c r="K7" i="146" s="1"/>
  <c r="J7" i="145"/>
  <c r="J7" i="146" s="1"/>
  <c r="I7" i="145"/>
  <c r="I7" i="146" s="1"/>
  <c r="H7" i="145"/>
  <c r="H7" i="146" s="1"/>
  <c r="K6" i="145"/>
  <c r="K6" i="146" s="1"/>
  <c r="J6" i="145"/>
  <c r="J6" i="146" s="1"/>
  <c r="I6" i="145"/>
  <c r="I6" i="146" s="1"/>
  <c r="H6" i="145"/>
  <c r="H6" i="146"/>
  <c r="K5" i="145"/>
  <c r="K5" i="146" s="1"/>
  <c r="J5" i="145"/>
  <c r="J5" i="146" s="1"/>
  <c r="J8" i="146" s="1"/>
  <c r="I5" i="145"/>
  <c r="I5" i="146" s="1"/>
  <c r="I8" i="146" s="1"/>
  <c r="H5" i="145"/>
  <c r="H5" i="146" s="1"/>
  <c r="H8" i="146" s="1"/>
  <c r="G7" i="145"/>
  <c r="G7" i="146"/>
  <c r="G6" i="145"/>
  <c r="G8" i="145" s="1"/>
  <c r="G6" i="146"/>
  <c r="G5" i="145"/>
  <c r="F7" i="145"/>
  <c r="H22" i="137" s="1"/>
  <c r="E7" i="145"/>
  <c r="E7" i="146" s="1"/>
  <c r="H17" i="136" s="1"/>
  <c r="E6" i="145"/>
  <c r="E6" i="146"/>
  <c r="F5" i="145"/>
  <c r="H12" i="137" s="1"/>
  <c r="E5" i="145"/>
  <c r="D7" i="145"/>
  <c r="L7" i="145" s="1"/>
  <c r="D6" i="145"/>
  <c r="D5" i="145"/>
  <c r="H11" i="132" s="1"/>
  <c r="AB16" i="143"/>
  <c r="D2" i="144"/>
  <c r="L5" i="144"/>
  <c r="C2" i="144"/>
  <c r="K5" i="144" s="1"/>
  <c r="D11" i="144" s="1"/>
  <c r="I11" i="144"/>
  <c r="F2" i="144"/>
  <c r="E2" i="144"/>
  <c r="E10" i="144" s="1"/>
  <c r="AA6" i="143"/>
  <c r="G2" i="143"/>
  <c r="L11" i="143" s="1"/>
  <c r="E2" i="143"/>
  <c r="Q11" i="143" s="1"/>
  <c r="C2" i="143"/>
  <c r="M11" i="140" s="1"/>
  <c r="M23" i="140" s="1"/>
  <c r="B2" i="143"/>
  <c r="Y6" i="143" s="1"/>
  <c r="L10" i="140"/>
  <c r="Y15" i="143" s="1"/>
  <c r="B18" i="143" s="1"/>
  <c r="Z5" i="143"/>
  <c r="Y5" i="143"/>
  <c r="D19" i="143" s="1"/>
  <c r="D24" i="143"/>
  <c r="AB15" i="143"/>
  <c r="AB14" i="143"/>
  <c r="AB13" i="143"/>
  <c r="AB12" i="143"/>
  <c r="F2" i="142"/>
  <c r="E2" i="142"/>
  <c r="M5" i="142" s="1"/>
  <c r="I11" i="142"/>
  <c r="D2" i="142"/>
  <c r="L5" i="142"/>
  <c r="C2" i="142"/>
  <c r="K5" i="142" s="1"/>
  <c r="D11" i="142" s="1"/>
  <c r="Q12" i="138"/>
  <c r="B12" i="138" s="1"/>
  <c r="D2" i="138"/>
  <c r="R13" i="138"/>
  <c r="C2" i="138"/>
  <c r="R6" i="138"/>
  <c r="B2" i="141"/>
  <c r="Q5" i="141" s="1"/>
  <c r="Q12" i="141"/>
  <c r="B14" i="141" s="1"/>
  <c r="C14" i="141" s="1"/>
  <c r="B2" i="138"/>
  <c r="S6" i="141"/>
  <c r="F2" i="141"/>
  <c r="J11" i="141" s="1"/>
  <c r="S6" i="138"/>
  <c r="M5" i="140"/>
  <c r="F2" i="140"/>
  <c r="E2" i="140"/>
  <c r="N8" i="140" s="1"/>
  <c r="E16" i="140"/>
  <c r="O18" i="140"/>
  <c r="G2" i="134"/>
  <c r="E2" i="134"/>
  <c r="F8" i="134" s="1"/>
  <c r="F2" i="138"/>
  <c r="E2" i="138"/>
  <c r="F11" i="138" s="1"/>
  <c r="S13" i="138"/>
  <c r="E2" i="137"/>
  <c r="N13" i="137" s="1"/>
  <c r="F2" i="137"/>
  <c r="E2" i="136"/>
  <c r="N5" i="136" s="1"/>
  <c r="F2" i="136"/>
  <c r="E2" i="132"/>
  <c r="H10" i="132"/>
  <c r="F2" i="132"/>
  <c r="J11" i="137"/>
  <c r="L12" i="137" s="1"/>
  <c r="M12" i="137" s="1"/>
  <c r="J11" i="136"/>
  <c r="J11" i="132"/>
  <c r="L13" i="132" s="1"/>
  <c r="C13" i="132" s="1"/>
  <c r="D2" i="137"/>
  <c r="M5" i="137" s="1"/>
  <c r="C2" i="137"/>
  <c r="L5" i="137" s="1"/>
  <c r="J15" i="137"/>
  <c r="J14" i="137"/>
  <c r="L14" i="137"/>
  <c r="C20" i="137" s="1"/>
  <c r="D2" i="136"/>
  <c r="M5" i="136" s="1"/>
  <c r="C2" i="136"/>
  <c r="L15" i="136" s="1"/>
  <c r="C15" i="136" s="1"/>
  <c r="J15" i="136"/>
  <c r="J14" i="136"/>
  <c r="J15" i="132"/>
  <c r="J14" i="132"/>
  <c r="L14" i="132" s="1"/>
  <c r="C14" i="132" s="1"/>
  <c r="D2" i="132"/>
  <c r="M5" i="132" s="1"/>
  <c r="C2" i="132"/>
  <c r="H8" i="145"/>
  <c r="L8" i="133"/>
  <c r="H14" i="145"/>
  <c r="R12" i="138"/>
  <c r="G11" i="146"/>
  <c r="F19" i="143" s="1"/>
  <c r="H19" i="143" s="1"/>
  <c r="D5" i="146"/>
  <c r="J14" i="145"/>
  <c r="R5" i="138"/>
  <c r="R6" i="141"/>
  <c r="J11" i="146"/>
  <c r="J14" i="146" s="1"/>
  <c r="T11" i="141"/>
  <c r="S11" i="141"/>
  <c r="D7" i="146"/>
  <c r="E5" i="146"/>
  <c r="T12" i="138"/>
  <c r="S12" i="138"/>
  <c r="F20" i="146"/>
  <c r="F12" i="141" s="1"/>
  <c r="E16" i="146"/>
  <c r="F14" i="134" s="1"/>
  <c r="L14" i="133"/>
  <c r="AA19" i="143"/>
  <c r="AA15" i="143"/>
  <c r="L7" i="140"/>
  <c r="Y12" i="143" s="1"/>
  <c r="C12" i="143"/>
  <c r="AA17" i="143"/>
  <c r="O21" i="140"/>
  <c r="O22" i="140"/>
  <c r="M11" i="144"/>
  <c r="M11" i="142"/>
  <c r="N12" i="136"/>
  <c r="P5" i="148"/>
  <c r="O5" i="148"/>
  <c r="P16" i="134" s="1"/>
  <c r="Q12" i="147"/>
  <c r="Q5" i="148"/>
  <c r="I11" i="148"/>
  <c r="Q12" i="148"/>
  <c r="L11" i="140"/>
  <c r="Y16" i="143" s="1"/>
  <c r="D12" i="143"/>
  <c r="D20" i="143"/>
  <c r="L9" i="140"/>
  <c r="Y14" i="143" s="1"/>
  <c r="L21" i="140"/>
  <c r="B21" i="140" s="1"/>
  <c r="M10" i="140"/>
  <c r="M22" i="140" s="1"/>
  <c r="D14" i="143"/>
  <c r="L8" i="140"/>
  <c r="C22" i="143" s="1"/>
  <c r="N5" i="140"/>
  <c r="N21" i="140"/>
  <c r="L17" i="140"/>
  <c r="B17" i="140" s="1"/>
  <c r="L23" i="140"/>
  <c r="B23" i="140" s="1"/>
  <c r="N10" i="140"/>
  <c r="N18" i="140"/>
  <c r="N20" i="140"/>
  <c r="K11" i="146"/>
  <c r="K14" i="145"/>
  <c r="C16" i="143"/>
  <c r="D20" i="140"/>
  <c r="C20" i="140"/>
  <c r="Y19" i="143"/>
  <c r="Z19" i="143" s="1"/>
  <c r="F10" i="132"/>
  <c r="F15" i="134"/>
  <c r="D10" i="146"/>
  <c r="D14" i="145"/>
  <c r="D13" i="134"/>
  <c r="F12" i="138"/>
  <c r="E8" i="145"/>
  <c r="F8" i="145"/>
  <c r="L18" i="140"/>
  <c r="B18" i="140" s="1"/>
  <c r="L22" i="145"/>
  <c r="D9" i="134"/>
  <c r="H12" i="136"/>
  <c r="H11" i="136"/>
  <c r="M7" i="140"/>
  <c r="M19" i="140" s="1"/>
  <c r="D15" i="134"/>
  <c r="J11" i="138"/>
  <c r="I11" i="138"/>
  <c r="L23" i="145"/>
  <c r="G5" i="146"/>
  <c r="G8" i="146" s="1"/>
  <c r="D12" i="146"/>
  <c r="L12" i="146" s="1"/>
  <c r="H11" i="146"/>
  <c r="F18" i="143" s="1"/>
  <c r="E18" i="143"/>
  <c r="R12" i="147"/>
  <c r="E11" i="147"/>
  <c r="F11" i="134"/>
  <c r="E12" i="143"/>
  <c r="T12" i="143"/>
  <c r="T13" i="138"/>
  <c r="E11" i="138"/>
  <c r="T12" i="141"/>
  <c r="E11" i="141"/>
  <c r="R12" i="148"/>
  <c r="F11" i="141"/>
  <c r="F10" i="134"/>
  <c r="F11" i="146"/>
  <c r="F16" i="143" s="1"/>
  <c r="U16" i="143" s="1"/>
  <c r="E10" i="142"/>
  <c r="I11" i="141"/>
  <c r="E11" i="148"/>
  <c r="D18" i="143"/>
  <c r="G18" i="143"/>
  <c r="T18" i="143"/>
  <c r="N11" i="136"/>
  <c r="F10" i="136"/>
  <c r="N13" i="136"/>
  <c r="G10" i="136"/>
  <c r="N15" i="136"/>
  <c r="N14" i="136"/>
  <c r="L14" i="136"/>
  <c r="L13" i="136"/>
  <c r="C13" i="136" s="1"/>
  <c r="H10" i="136"/>
  <c r="N12" i="132"/>
  <c r="N13" i="132"/>
  <c r="N11" i="132"/>
  <c r="N15" i="132"/>
  <c r="N5" i="132"/>
  <c r="N14" i="132"/>
  <c r="G10" i="132"/>
  <c r="C14" i="136"/>
  <c r="N12" i="137"/>
  <c r="E20" i="137"/>
  <c r="E17" i="137"/>
  <c r="D21" i="137"/>
  <c r="E14" i="137"/>
  <c r="E11" i="137"/>
  <c r="L15" i="137"/>
  <c r="M15" i="137" s="1"/>
  <c r="F10" i="144"/>
  <c r="G10" i="144"/>
  <c r="M5" i="144"/>
  <c r="L15" i="132"/>
  <c r="C15" i="132" s="1"/>
  <c r="H24" i="133" l="1"/>
  <c r="H21" i="145"/>
  <c r="H21" i="146"/>
  <c r="H24" i="146" s="1"/>
  <c r="I24" i="133"/>
  <c r="I21" i="145"/>
  <c r="I24" i="145" s="1"/>
  <c r="I21" i="146"/>
  <c r="I24" i="146" s="1"/>
  <c r="B16" i="143"/>
  <c r="Z14" i="143"/>
  <c r="G19" i="143"/>
  <c r="T19" i="143"/>
  <c r="Z12" i="143"/>
  <c r="B12" i="143"/>
  <c r="D24" i="133"/>
  <c r="D21" i="145"/>
  <c r="D24" i="145" s="1"/>
  <c r="F9" i="134" s="1"/>
  <c r="D21" i="146"/>
  <c r="Z16" i="143"/>
  <c r="B19" i="143"/>
  <c r="I12" i="134"/>
  <c r="J12" i="134"/>
  <c r="H12" i="134"/>
  <c r="G12" i="134"/>
  <c r="L20" i="146"/>
  <c r="D21" i="143"/>
  <c r="D13" i="143"/>
  <c r="D17" i="143"/>
  <c r="D23" i="143"/>
  <c r="D25" i="143"/>
  <c r="L16" i="146"/>
  <c r="G21" i="145"/>
  <c r="G24" i="145" s="1"/>
  <c r="G24" i="133"/>
  <c r="L11" i="137"/>
  <c r="M14" i="132"/>
  <c r="H24" i="145"/>
  <c r="Z6" i="143"/>
  <c r="L5" i="145"/>
  <c r="J8" i="145"/>
  <c r="P12" i="147"/>
  <c r="O12" i="147" s="1"/>
  <c r="B12" i="147" s="1"/>
  <c r="C12" i="147" s="1"/>
  <c r="C14" i="137"/>
  <c r="N11" i="137"/>
  <c r="D14" i="146"/>
  <c r="O20" i="140"/>
  <c r="L6" i="145"/>
  <c r="I11" i="147"/>
  <c r="K8" i="146"/>
  <c r="K16" i="146"/>
  <c r="K24" i="146" s="1"/>
  <c r="F16" i="134" s="1"/>
  <c r="M8" i="140"/>
  <c r="M20" i="140" s="1"/>
  <c r="E14" i="145"/>
  <c r="L14" i="145" s="1"/>
  <c r="H15" i="137"/>
  <c r="N7" i="140"/>
  <c r="Q5" i="147"/>
  <c r="AA18" i="143"/>
  <c r="L17" i="145"/>
  <c r="M13" i="132"/>
  <c r="K11" i="142"/>
  <c r="F10" i="137"/>
  <c r="M15" i="136"/>
  <c r="L11" i="136"/>
  <c r="C11" i="136" s="1"/>
  <c r="L11" i="146"/>
  <c r="D16" i="143"/>
  <c r="D22" i="140"/>
  <c r="C22" i="140" s="1"/>
  <c r="C19" i="143"/>
  <c r="K11" i="143"/>
  <c r="Z15" i="143"/>
  <c r="C24" i="143"/>
  <c r="O23" i="140"/>
  <c r="L20" i="140"/>
  <c r="B20" i="140" s="1"/>
  <c r="D19" i="140"/>
  <c r="C19" i="140" s="1"/>
  <c r="D23" i="140"/>
  <c r="C23" i="140" s="1"/>
  <c r="J11" i="147"/>
  <c r="O19" i="140"/>
  <c r="AA5" i="143"/>
  <c r="F24" i="145"/>
  <c r="J21" i="145"/>
  <c r="Q6" i="141"/>
  <c r="D22" i="143"/>
  <c r="K11" i="144"/>
  <c r="N14" i="137"/>
  <c r="L12" i="136"/>
  <c r="E14" i="143"/>
  <c r="T14" i="143" s="1"/>
  <c r="M9" i="140"/>
  <c r="M21" i="140" s="1"/>
  <c r="L11" i="132"/>
  <c r="C18" i="143"/>
  <c r="L18" i="145"/>
  <c r="M11" i="143"/>
  <c r="U19" i="143"/>
  <c r="D21" i="140"/>
  <c r="C21" i="140" s="1"/>
  <c r="N6" i="140"/>
  <c r="N17" i="140"/>
  <c r="P5" i="147"/>
  <c r="N23" i="140"/>
  <c r="AA12" i="143"/>
  <c r="N22" i="140"/>
  <c r="AA13" i="143"/>
  <c r="I8" i="145"/>
  <c r="M14" i="137"/>
  <c r="N5" i="137"/>
  <c r="M13" i="136"/>
  <c r="M11" i="136"/>
  <c r="N15" i="137"/>
  <c r="M14" i="136"/>
  <c r="F14" i="146"/>
  <c r="R5" i="141"/>
  <c r="L20" i="145"/>
  <c r="L22" i="140"/>
  <c r="B22" i="140" s="1"/>
  <c r="Y18" i="143"/>
  <c r="Z18" i="143" s="1"/>
  <c r="N19" i="140"/>
  <c r="E8" i="146"/>
  <c r="O17" i="140"/>
  <c r="Q11" i="141"/>
  <c r="B12" i="141" s="1"/>
  <c r="C12" i="141" s="1"/>
  <c r="L5" i="136"/>
  <c r="F10" i="142"/>
  <c r="D8" i="145"/>
  <c r="F7" i="146"/>
  <c r="H23" i="137" s="1"/>
  <c r="G10" i="137"/>
  <c r="L13" i="137"/>
  <c r="L11" i="145"/>
  <c r="B24" i="143"/>
  <c r="N11" i="140"/>
  <c r="F16" i="140"/>
  <c r="N9" i="140"/>
  <c r="F5" i="146"/>
  <c r="F8" i="146" s="1"/>
  <c r="S5" i="138"/>
  <c r="L12" i="132"/>
  <c r="C12" i="132" s="1"/>
  <c r="H10" i="137"/>
  <c r="H18" i="143"/>
  <c r="U18" i="143"/>
  <c r="M15" i="132"/>
  <c r="C21" i="137"/>
  <c r="D12" i="141"/>
  <c r="D11" i="134"/>
  <c r="D14" i="141"/>
  <c r="H14" i="146"/>
  <c r="E21" i="145"/>
  <c r="L21" i="133"/>
  <c r="L24" i="133" s="1"/>
  <c r="E24" i="133"/>
  <c r="Y13" i="143"/>
  <c r="C14" i="143"/>
  <c r="Y17" i="143"/>
  <c r="C20" i="143"/>
  <c r="L19" i="140"/>
  <c r="B19" i="140" s="1"/>
  <c r="L23" i="146"/>
  <c r="C12" i="138"/>
  <c r="D12" i="148"/>
  <c r="AA14" i="143"/>
  <c r="K8" i="145"/>
  <c r="G10" i="146"/>
  <c r="L5" i="132"/>
  <c r="Q6" i="138"/>
  <c r="G10" i="142"/>
  <c r="AA16" i="143"/>
  <c r="D6" i="146"/>
  <c r="I10" i="146"/>
  <c r="I14" i="146" s="1"/>
  <c r="D19" i="146"/>
  <c r="F17" i="146"/>
  <c r="L17" i="146" s="1"/>
  <c r="D15" i="143"/>
  <c r="C14" i="138"/>
  <c r="R12" i="141"/>
  <c r="P9" i="134"/>
  <c r="P13" i="134"/>
  <c r="P10" i="134"/>
  <c r="P14" i="134"/>
  <c r="Q5" i="138"/>
  <c r="H12" i="132"/>
  <c r="D12" i="134"/>
  <c r="P11" i="134"/>
  <c r="P15" i="134"/>
  <c r="D16" i="134"/>
  <c r="P12" i="134"/>
  <c r="I16" i="134" l="1"/>
  <c r="G16" i="134"/>
  <c r="H16" i="134"/>
  <c r="J16" i="134"/>
  <c r="D13" i="141"/>
  <c r="D15" i="141"/>
  <c r="B22" i="143"/>
  <c r="E14" i="136"/>
  <c r="D15" i="136"/>
  <c r="E13" i="136"/>
  <c r="E11" i="136"/>
  <c r="E12" i="136"/>
  <c r="J24" i="145"/>
  <c r="J21" i="146"/>
  <c r="J24" i="146" s="1"/>
  <c r="C12" i="136"/>
  <c r="M12" i="136"/>
  <c r="C11" i="137"/>
  <c r="M11" i="137"/>
  <c r="C17" i="137"/>
  <c r="M13" i="137"/>
  <c r="L11" i="144"/>
  <c r="B11" i="144"/>
  <c r="L11" i="142"/>
  <c r="B11" i="142"/>
  <c r="G21" i="146"/>
  <c r="G24" i="146" s="1"/>
  <c r="H16" i="137"/>
  <c r="H13" i="137"/>
  <c r="C11" i="132"/>
  <c r="M11" i="132"/>
  <c r="L7" i="146"/>
  <c r="L8" i="145"/>
  <c r="M12" i="132"/>
  <c r="L5" i="146"/>
  <c r="L6" i="146"/>
  <c r="D8" i="146"/>
  <c r="E14" i="132"/>
  <c r="E12" i="132"/>
  <c r="E11" i="132"/>
  <c r="D15" i="132"/>
  <c r="E13" i="132"/>
  <c r="D14" i="134"/>
  <c r="D10" i="134"/>
  <c r="D14" i="138"/>
  <c r="D12" i="138"/>
  <c r="G14" i="146"/>
  <c r="L10" i="146"/>
  <c r="L14" i="146" s="1"/>
  <c r="Z17" i="143"/>
  <c r="B20" i="143"/>
  <c r="L19" i="146"/>
  <c r="D24" i="146"/>
  <c r="F13" i="134" s="1"/>
  <c r="F24" i="146"/>
  <c r="E21" i="146"/>
  <c r="E24" i="145"/>
  <c r="L24" i="145" s="1"/>
  <c r="L21" i="145"/>
  <c r="D15" i="138"/>
  <c r="D13" i="138"/>
  <c r="B14" i="143"/>
  <c r="Z13" i="143"/>
  <c r="L8" i="146" l="1"/>
  <c r="L21" i="146"/>
  <c r="L24" i="146" s="1"/>
  <c r="E24" i="1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V19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1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2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8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P8" authorId="2" shapeId="0" xr:uid="{00000000-0006-0000-04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8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8" authorId="2" shapeId="0" xr:uid="{00000000-0006-0000-04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9" authorId="2" shapeId="0" xr:uid="{00000000-0006-0000-04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8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P8" authorId="2" shapeId="0" xr:uid="{00000000-0006-0000-05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8" authorId="1" shapeId="0" xr:uid="{00000000-0006-0000-05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8" authorId="2" shapeId="0" xr:uid="{00000000-0006-0000-05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9" authorId="2" shapeId="0" xr:uid="{00000000-0006-0000-05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8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P8" authorId="2" shapeId="0" xr:uid="{00000000-0006-0000-06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8" authorId="1" shapeId="0" xr:uid="{00000000-0006-0000-06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8" authorId="2" shapeId="0" xr:uid="{00000000-0006-0000-06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9" authorId="2" shapeId="0" xr:uid="{00000000-0006-0000-06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7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7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7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7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8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8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8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8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8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8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8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8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9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9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9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9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9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9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9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W3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B3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C3" authorId="2" shapeId="0" xr:uid="{00000000-0006-0000-0A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D3" authorId="2" shapeId="0" xr:uid="{00000000-0006-0000-0A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E3" authorId="2" shapeId="0" xr:uid="{00000000-0006-0000-0A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C9" authorId="2" shapeId="0" xr:uid="{00000000-0006-0000-0A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D9" authorId="1" shapeId="0" xr:uid="{00000000-0006-0000-0A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E9" authorId="2" shapeId="0" xr:uid="{00000000-0006-0000-0A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W10" authorId="2" shapeId="0" xr:uid="{00000000-0006-0000-0A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B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B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B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B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00000000-0006-0000-0B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00000000-0006-0000-0B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00000000-0006-0000-0B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00000000-0006-0000-0B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C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C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C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C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00000000-0006-0000-0C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00000000-0006-0000-0C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00000000-0006-0000-0C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00000000-0006-0000-0C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D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D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D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D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9" authorId="2" shapeId="0" xr:uid="{00000000-0006-0000-0D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9" authorId="1" shapeId="0" xr:uid="{00000000-0006-0000-0D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9" authorId="2" shapeId="0" xr:uid="{00000000-0006-0000-0D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0" authorId="2" shapeId="0" xr:uid="{00000000-0006-0000-0D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E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E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E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E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E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9" authorId="2" shapeId="0" xr:uid="{00000000-0006-0000-0E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9" authorId="1" shapeId="0" xr:uid="{00000000-0006-0000-0E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9" authorId="2" shapeId="0" xr:uid="{00000000-0006-0000-0E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0" authorId="2" shapeId="0" xr:uid="{00000000-0006-0000-0E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<sst xmlns="http://schemas.openxmlformats.org/spreadsheetml/2006/main" count="1283" uniqueCount="221">
  <si>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</si>
  <si>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</si>
  <si>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</si>
  <si>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</si>
  <si>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</si>
  <si>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</si>
  <si>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</si>
  <si>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</si>
  <si>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</si>
  <si>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</si>
  <si>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</si>
  <si>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</si>
  <si>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</si>
  <si>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</si>
  <si>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</si>
  <si>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</si>
  <si>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</si>
  <si>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</si>
  <si>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</si>
  <si>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</si>
  <si>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</si>
  <si>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</si>
  <si>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</si>
  <si>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</si>
  <si>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</si>
  <si>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</si>
  <si>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</si>
  <si>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</si>
  <si>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</si>
  <si>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</si>
  <si>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</si>
  <si>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</si>
  <si>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</si>
  <si>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</si>
  <si>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</si>
  <si>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</si>
  <si>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</si>
  <si>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</si>
  <si>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</si>
  <si>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</si>
  <si>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</si>
  <si>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</si>
  <si>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</si>
  <si>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</si>
  <si>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</si>
  <si>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</si>
  <si>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</si>
  <si>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</si>
  <si>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</si>
  <si>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</si>
  <si>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</si>
  <si>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</si>
  <si>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</si>
  <si>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</si>
  <si>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</si>
  <si>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</si>
  <si>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</si>
  <si>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</si>
  <si>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</si>
  <si>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</si>
  <si>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</si>
  <si>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</si>
  <si>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</si>
  <si>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</si>
  <si>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</si>
  <si>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</si>
  <si>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</si>
  <si>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</si>
  <si>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</si>
  <si>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</si>
  <si>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</si>
  <si>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</si>
  <si>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</si>
  <si>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</si>
  <si>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</si>
  <si>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</si>
  <si>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</si>
  <si>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</si>
  <si>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</si>
  <si>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</si>
  <si>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</si>
  <si>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</si>
  <si>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</si>
  <si>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</si>
  <si>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</si>
  <si>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</si>
  <si>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</si>
  <si>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</si>
  <si>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</si>
  <si>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</si>
  <si>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</si>
  <si>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</si>
  <si>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</si>
  <si>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</si>
  <si>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</si>
  <si>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</si>
  <si>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</si>
  <si>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</si>
  <si>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</si>
  <si>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</si>
  <si>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M€</t>
  </si>
  <si>
    <t>ACT_BND</t>
  </si>
  <si>
    <t>LIFE</t>
  </si>
  <si>
    <t>Attribute</t>
  </si>
  <si>
    <t>*</t>
  </si>
  <si>
    <t>Demand Commodity Name</t>
  </si>
  <si>
    <t>DEM</t>
  </si>
  <si>
    <t>INVCOST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</si>
  <si>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</si>
  <si>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</si>
  <si>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</si>
  <si>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</si>
  <si>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</si>
  <si>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</si>
  <si>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</si>
  <si>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</si>
  <si>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</si>
  <si>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Annual Production Bound</t>
  </si>
  <si>
    <t>Cost</t>
  </si>
  <si>
    <t>Default Units</t>
  </si>
  <si>
    <t>Currency</t>
  </si>
  <si>
    <t>Activity</t>
  </si>
  <si>
    <t>Fixed O&amp;M Cost</t>
  </si>
  <si>
    <t>Invesctment Cost</t>
  </si>
  <si>
    <t>DMD</t>
  </si>
  <si>
    <t>AFA</t>
  </si>
  <si>
    <t>Utilisation Factor</t>
  </si>
  <si>
    <t>Existing</t>
  </si>
  <si>
    <t>E</t>
  </si>
  <si>
    <t>N</t>
  </si>
  <si>
    <t>ENV_ACT</t>
  </si>
  <si>
    <t>Sector</t>
  </si>
  <si>
    <t>SH</t>
  </si>
  <si>
    <t>AP</t>
  </si>
  <si>
    <t>OT</t>
  </si>
  <si>
    <t>Space Heating</t>
  </si>
  <si>
    <t>Appliancens</t>
  </si>
  <si>
    <t>D1</t>
  </si>
  <si>
    <t>D6</t>
  </si>
  <si>
    <t>Demand 1</t>
  </si>
  <si>
    <t>Demand 6</t>
  </si>
  <si>
    <t>Emissions</t>
  </si>
  <si>
    <t>kt</t>
  </si>
  <si>
    <t>Activity Emission Coefficient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</si>
  <si>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</si>
  <si>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</si>
  <si>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</si>
  <si>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</si>
  <si>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</si>
  <si>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</si>
  <si>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</si>
  <si>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</si>
  <si>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</si>
  <si>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</si>
  <si>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</si>
  <si>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Domestic Supply Curve Share - Step 1</t>
  </si>
  <si>
    <t>Domestic Supply Curve Share - Step 2</t>
  </si>
  <si>
    <t>Break-out by end-use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</si>
  <si>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</si>
  <si>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</si>
  <si>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</si>
  <si>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</si>
  <si>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</si>
  <si>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</si>
  <si>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</si>
  <si>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</si>
  <si>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</si>
  <si>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</si>
  <si>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</si>
  <si>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</si>
  <si>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</si>
  <si>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</si>
  <si>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</si>
  <si>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</si>
  <si>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</si>
  <si>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</si>
  <si>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Demand Driver (annual growth)</t>
  </si>
  <si>
    <t>Timeslices</t>
  </si>
  <si>
    <t>COM_FR</t>
  </si>
  <si>
    <t>SD</t>
  </si>
  <si>
    <t>SN</t>
  </si>
  <si>
    <t>WD</t>
  </si>
  <si>
    <t>WN</t>
  </si>
  <si>
    <t>DAYNITE</t>
  </si>
  <si>
    <t>SEASON</t>
  </si>
  <si>
    <t>Peak</t>
  </si>
  <si>
    <t>% contribution to PEAK</t>
  </si>
  <si>
    <t>Retirement Capacity</t>
  </si>
  <si>
    <t>Break-out by Region 1</t>
  </si>
  <si>
    <t>REG1</t>
  </si>
  <si>
    <t>REG2</t>
  </si>
  <si>
    <t>Nuclear</t>
  </si>
  <si>
    <t>Crude oil</t>
  </si>
  <si>
    <t>Capacity</t>
  </si>
  <si>
    <t>000_Units</t>
  </si>
  <si>
    <t>*Unit</t>
  </si>
  <si>
    <t>Demand Unit</t>
  </si>
  <si>
    <t>M€2005</t>
  </si>
  <si>
    <t>Data used in the template to buld the model</t>
  </si>
  <si>
    <t>User inputs</t>
  </si>
  <si>
    <t>Linked to the Energy Balance</t>
  </si>
  <si>
    <t>Objective Function</t>
  </si>
  <si>
    <t>Primary Supply (Mining, Import/Export)</t>
  </si>
  <si>
    <t>Conversion (Power Sector)</t>
  </si>
  <si>
    <t>Demand Sectors</t>
  </si>
  <si>
    <t>START</t>
  </si>
  <si>
    <t>New</t>
  </si>
  <si>
    <t xml:space="preserve"> </t>
  </si>
  <si>
    <t>STOCK~REG1</t>
  </si>
  <si>
    <t>STOCK~REG2</t>
  </si>
  <si>
    <t>STOCK~REG1~2030</t>
  </si>
  <si>
    <t>STOCK~REG2~2030</t>
  </si>
  <si>
    <t>TPS</t>
  </si>
  <si>
    <t>Total Primary Supply</t>
  </si>
  <si>
    <t>Total Final Consumption</t>
  </si>
  <si>
    <t>CAP2ACT</t>
  </si>
  <si>
    <t>Lifetime</t>
  </si>
  <si>
    <t>Run name: DemoS_004</t>
  </si>
  <si>
    <t>Crude Oil</t>
  </si>
  <si>
    <t>_SysCost result table</t>
  </si>
  <si>
    <t>Reference Energy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</si>
</sst>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General_)"/>
    <numFmt numFmtId="166" formatCode="0.0"/>
    <numFmt numFmtId="167" formatCode="\Te\x\t"/>
  </numFmts>
  <fonts count="3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19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10" borderId="19" applyNumberFormat="0" applyAlignment="0" applyProtection="0"/>
    <xf numFmtId="0" fontId="18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</cellStyleXfs>
  <cellXfs count="277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 applyFill="1"/>
    <xf numFmtId="0" fontId="4" fillId="0" borderId="0" xfId="14" applyFill="1" applyBorder="1" applyAlignment="1">
      <alignment horizontal="right"/>
    </xf>
    <xf numFmtId="0" fontId="5" fillId="0" borderId="0" xfId="14" applyFont="1" applyFill="1" applyAlignment="1">
      <alignment horizontal="left"/>
    </xf>
    <xf numFmtId="0" fontId="4" fillId="0" borderId="0" xfId="14" applyFill="1" applyBorder="1" applyAlignment="1">
      <alignment horizontal="left"/>
    </xf>
    <xf numFmtId="0" fontId="0" fillId="0" borderId="0" xfId="0" applyFill="1"/>
    <xf numFmtId="0" fontId="0" fillId="0" borderId="0" xfId="0" applyBorder="1" applyAlignment="1"/>
    <xf numFmtId="0" fontId="0" fillId="0" borderId="0" xfId="0" applyBorder="1"/>
    <xf numFmtId="0" fontId="0" fillId="0" borderId="2" xfId="0" applyBorder="1" applyAlignment="1"/>
    <xf numFmtId="165" fontId="8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4" fillId="0" borderId="0" xfId="0" applyFont="1" applyFill="1" applyBorder="1"/>
    <xf numFmtId="0" fontId="4" fillId="0" borderId="0" xfId="0" applyFont="1" applyFill="1"/>
    <xf numFmtId="0" fontId="14" fillId="7" borderId="0" xfId="5"/>
    <xf numFmtId="0" fontId="19" fillId="0" borderId="0" xfId="9" applyFont="1" applyFill="1"/>
    <xf numFmtId="0" fontId="20" fillId="0" borderId="0" xfId="0" applyFont="1" applyFill="1"/>
    <xf numFmtId="0" fontId="19" fillId="12" borderId="0" xfId="9" applyFont="1" applyFill="1"/>
    <xf numFmtId="0" fontId="4" fillId="0" borderId="0" xfId="11" applyFont="1" applyFill="1"/>
    <xf numFmtId="1" fontId="4" fillId="0" borderId="0" xfId="0" applyNumberFormat="1" applyFont="1" applyFill="1"/>
    <xf numFmtId="1" fontId="0" fillId="0" borderId="0" xfId="0" applyNumberFormat="1" applyFill="1"/>
    <xf numFmtId="0" fontId="21" fillId="3" borderId="3" xfId="1" applyFont="1" applyBorder="1" applyAlignment="1">
      <alignment horizontal="center" wrapText="1"/>
    </xf>
    <xf numFmtId="0" fontId="20" fillId="0" borderId="0" xfId="0" applyFont="1" applyFill="1" applyBorder="1"/>
    <xf numFmtId="0" fontId="21" fillId="3" borderId="3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4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/>
    </xf>
    <xf numFmtId="1" fontId="0" fillId="0" borderId="0" xfId="0" applyNumberFormat="1" applyBorder="1"/>
    <xf numFmtId="2" fontId="0" fillId="0" borderId="0" xfId="0" applyNumberFormat="1" applyBorder="1"/>
    <xf numFmtId="0" fontId="19" fillId="12" borderId="0" xfId="9" applyFont="1" applyFill="1" applyAlignment="1">
      <alignment wrapText="1"/>
    </xf>
    <xf numFmtId="0" fontId="0" fillId="0" borderId="0" xfId="0" applyFill="1" applyAlignment="1">
      <alignment wrapText="1"/>
    </xf>
    <xf numFmtId="0" fontId="22" fillId="0" borderId="0" xfId="0" applyFont="1"/>
    <xf numFmtId="0" fontId="4" fillId="0" borderId="5" xfId="0" applyFont="1" applyBorder="1"/>
    <xf numFmtId="0" fontId="4" fillId="0" borderId="6" xfId="0" applyFont="1" applyBorder="1"/>
    <xf numFmtId="9" fontId="20" fillId="0" borderId="6" xfId="19" applyFont="1" applyBorder="1" applyAlignment="1"/>
    <xf numFmtId="0" fontId="4" fillId="0" borderId="7" xfId="0" applyFont="1" applyBorder="1"/>
    <xf numFmtId="9" fontId="20" fillId="0" borderId="7" xfId="19" applyFont="1" applyBorder="1" applyAlignment="1"/>
    <xf numFmtId="0" fontId="4" fillId="0" borderId="0" xfId="0" applyFont="1" applyBorder="1"/>
    <xf numFmtId="9" fontId="20" fillId="0" borderId="0" xfId="19" applyFont="1" applyBorder="1" applyAlignment="1"/>
    <xf numFmtId="0" fontId="14" fillId="7" borderId="0" xfId="5" applyAlignment="1">
      <alignment wrapText="1"/>
    </xf>
    <xf numFmtId="2" fontId="4" fillId="0" borderId="0" xfId="0" applyNumberFormat="1" applyFont="1" applyFill="1" applyBorder="1"/>
    <xf numFmtId="0" fontId="0" fillId="0" borderId="2" xfId="0" applyBorder="1"/>
    <xf numFmtId="0" fontId="3" fillId="0" borderId="0" xfId="0" applyFont="1"/>
    <xf numFmtId="0" fontId="0" fillId="0" borderId="0" xfId="0" applyBorder="1" applyAlignment="1">
      <alignment horizontal="center" wrapText="1"/>
    </xf>
    <xf numFmtId="0" fontId="4" fillId="0" borderId="0" xfId="12"/>
    <xf numFmtId="0" fontId="4" fillId="0" borderId="0" xfId="12" applyFont="1"/>
    <xf numFmtId="0" fontId="4" fillId="0" borderId="0" xfId="12" applyFill="1"/>
    <xf numFmtId="0" fontId="4" fillId="0" borderId="0" xfId="12" applyFill="1" applyBorder="1"/>
    <xf numFmtId="0" fontId="4" fillId="0" borderId="0" xfId="12" applyBorder="1"/>
    <xf numFmtId="0" fontId="4" fillId="0" borderId="0" xfId="12" applyFill="1" applyBorder="1" applyAlignment="1">
      <alignment wrapText="1"/>
    </xf>
    <xf numFmtId="0" fontId="3" fillId="0" borderId="0" xfId="14" applyFont="1" applyFill="1" applyBorder="1" applyAlignment="1">
      <alignment horizontal="right" vertical="center" wrapText="1"/>
    </xf>
    <xf numFmtId="1" fontId="4" fillId="0" borderId="0" xfId="12" applyNumberFormat="1"/>
    <xf numFmtId="0" fontId="4" fillId="0" borderId="0" xfId="12" applyFont="1" applyBorder="1"/>
    <xf numFmtId="0" fontId="0" fillId="0" borderId="0" xfId="0" applyFill="1" applyBorder="1"/>
    <xf numFmtId="0" fontId="23" fillId="0" borderId="0" xfId="9" applyFont="1" applyFill="1"/>
    <xf numFmtId="0" fontId="24" fillId="0" borderId="0" xfId="5" applyFont="1" applyFill="1" applyAlignment="1">
      <alignment wrapText="1"/>
    </xf>
    <xf numFmtId="0" fontId="4" fillId="0" borderId="0" xfId="12" applyFont="1" applyFill="1"/>
    <xf numFmtId="9" fontId="0" fillId="0" borderId="0" xfId="19" applyFont="1" applyBorder="1" applyAlignment="1"/>
    <xf numFmtId="0" fontId="4" fillId="0" borderId="8" xfId="0" applyFont="1" applyFill="1" applyBorder="1"/>
    <xf numFmtId="0" fontId="4" fillId="0" borderId="2" xfId="0" applyFont="1" applyBorder="1"/>
    <xf numFmtId="0" fontId="4" fillId="0" borderId="2" xfId="12" applyFont="1" applyFill="1" applyBorder="1"/>
    <xf numFmtId="1" fontId="25" fillId="13" borderId="0" xfId="2" applyNumberFormat="1" applyFont="1" applyFill="1" applyBorder="1" applyAlignment="1">
      <alignment horizontal="right" wrapText="1"/>
    </xf>
    <xf numFmtId="0" fontId="26" fillId="0" borderId="0" xfId="2" applyFont="1" applyFill="1" applyBorder="1" applyAlignment="1">
      <alignment horizontal="right" wrapText="1"/>
    </xf>
    <xf numFmtId="0" fontId="21" fillId="0" borderId="0" xfId="2" applyFont="1" applyFill="1" applyBorder="1" applyAlignment="1">
      <alignment horizontal="right" wrapText="1"/>
    </xf>
    <xf numFmtId="1" fontId="25" fillId="0" borderId="0" xfId="2" applyNumberFormat="1" applyFont="1" applyFill="1" applyBorder="1" applyAlignment="1">
      <alignment horizontal="right" wrapText="1"/>
    </xf>
    <xf numFmtId="0" fontId="19" fillId="12" borderId="0" xfId="9" quotePrefix="1" applyFont="1" applyFill="1"/>
    <xf numFmtId="0" fontId="3" fillId="0" borderId="2" xfId="0" applyFont="1" applyBorder="1" applyAlignment="1">
      <alignment horizontal="center" wrapText="1"/>
    </xf>
    <xf numFmtId="0" fontId="27" fillId="0" borderId="0" xfId="0" applyFont="1" applyFill="1"/>
    <xf numFmtId="0" fontId="19" fillId="12" borderId="0" xfId="9" applyFont="1" applyFill="1" applyAlignment="1">
      <alignment horizontal="left"/>
    </xf>
    <xf numFmtId="1" fontId="0" fillId="14" borderId="0" xfId="0" applyNumberFormat="1" applyFill="1" applyBorder="1" applyAlignment="1"/>
    <xf numFmtId="0" fontId="27" fillId="15" borderId="2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27" fillId="15" borderId="0" xfId="0" applyFont="1" applyFill="1"/>
    <xf numFmtId="165" fontId="9" fillId="16" borderId="0" xfId="0" applyNumberFormat="1" applyFont="1" applyFill="1" applyBorder="1" applyAlignment="1">
      <alignment horizontal="left" vertical="center"/>
    </xf>
    <xf numFmtId="1" fontId="0" fillId="17" borderId="0" xfId="0" applyNumberFormat="1" applyFill="1" applyBorder="1" applyAlignment="1"/>
    <xf numFmtId="0" fontId="0" fillId="17" borderId="0" xfId="0" applyFill="1" applyBorder="1" applyAlignment="1"/>
    <xf numFmtId="0" fontId="0" fillId="17" borderId="0" xfId="0" applyFill="1"/>
    <xf numFmtId="165" fontId="9" fillId="16" borderId="2" xfId="0" applyNumberFormat="1" applyFont="1" applyFill="1" applyBorder="1" applyAlignment="1">
      <alignment horizontal="left" vertical="center"/>
    </xf>
    <xf numFmtId="1" fontId="0" fillId="16" borderId="2" xfId="0" applyNumberFormat="1" applyFill="1" applyBorder="1" applyAlignment="1"/>
    <xf numFmtId="1" fontId="17" fillId="10" borderId="0" xfId="10" applyNumberFormat="1" applyBorder="1" applyAlignment="1"/>
    <xf numFmtId="1" fontId="17" fillId="10" borderId="2" xfId="10" applyNumberFormat="1" applyBorder="1" applyAlignment="1"/>
    <xf numFmtId="1" fontId="17" fillId="10" borderId="1" xfId="10" applyNumberFormat="1" applyBorder="1" applyAlignment="1"/>
    <xf numFmtId="1" fontId="17" fillId="10" borderId="9" xfId="10" applyNumberFormat="1" applyBorder="1" applyAlignment="1"/>
    <xf numFmtId="1" fontId="17" fillId="10" borderId="10" xfId="10" applyNumberFormat="1" applyBorder="1" applyAlignment="1"/>
    <xf numFmtId="1" fontId="15" fillId="8" borderId="4" xfId="6" applyNumberFormat="1" applyBorder="1" applyAlignment="1">
      <alignment horizontal="right"/>
    </xf>
    <xf numFmtId="1" fontId="17" fillId="10" borderId="4" xfId="10" applyNumberFormat="1" applyBorder="1" applyAlignment="1"/>
    <xf numFmtId="1" fontId="15" fillId="8" borderId="11" xfId="6" applyNumberFormat="1" applyBorder="1" applyAlignment="1">
      <alignment horizontal="right"/>
    </xf>
    <xf numFmtId="165" fontId="15" fillId="8" borderId="5" xfId="6" applyNumberFormat="1" applyBorder="1" applyAlignment="1">
      <alignment horizontal="right" vertical="center"/>
    </xf>
    <xf numFmtId="1" fontId="15" fillId="8" borderId="20" xfId="6" applyNumberFormat="1" applyBorder="1" applyAlignment="1">
      <alignment horizontal="right"/>
    </xf>
    <xf numFmtId="1" fontId="15" fillId="8" borderId="21" xfId="6" applyNumberFormat="1" applyBorder="1" applyAlignment="1">
      <alignment horizontal="right"/>
    </xf>
    <xf numFmtId="1" fontId="15" fillId="8" borderId="22" xfId="6" applyNumberFormat="1" applyBorder="1" applyAlignment="1">
      <alignment horizontal="right"/>
    </xf>
    <xf numFmtId="1" fontId="15" fillId="8" borderId="23" xfId="6" applyNumberFormat="1" applyBorder="1" applyAlignment="1">
      <alignment horizontal="right"/>
    </xf>
    <xf numFmtId="165" fontId="9" fillId="17" borderId="6" xfId="0" applyNumberFormat="1" applyFont="1" applyFill="1" applyBorder="1" applyAlignment="1">
      <alignment horizontal="left" vertical="center"/>
    </xf>
    <xf numFmtId="165" fontId="9" fillId="17" borderId="12" xfId="0" applyNumberFormat="1" applyFont="1" applyFill="1" applyBorder="1" applyAlignment="1">
      <alignment horizontal="left" vertical="center"/>
    </xf>
    <xf numFmtId="165" fontId="9" fillId="16" borderId="6" xfId="0" applyNumberFormat="1" applyFont="1" applyFill="1" applyBorder="1" applyAlignment="1">
      <alignment horizontal="left" vertical="center"/>
    </xf>
    <xf numFmtId="165" fontId="9" fillId="16" borderId="12" xfId="0" applyNumberFormat="1" applyFont="1" applyFill="1" applyBorder="1" applyAlignment="1">
      <alignment horizontal="left" vertical="center"/>
    </xf>
    <xf numFmtId="165" fontId="9" fillId="16" borderId="7" xfId="0" applyNumberFormat="1" applyFont="1" applyFill="1" applyBorder="1" applyAlignment="1">
      <alignment horizontal="left" vertical="center"/>
    </xf>
    <xf numFmtId="165" fontId="9" fillId="16" borderId="9" xfId="0" applyNumberFormat="1" applyFont="1" applyFill="1" applyBorder="1" applyAlignment="1">
      <alignment horizontal="left" vertical="center"/>
    </xf>
    <xf numFmtId="165" fontId="9" fillId="16" borderId="10" xfId="0" applyNumberFormat="1" applyFont="1" applyFill="1" applyBorder="1" applyAlignment="1">
      <alignment horizontal="left" vertical="center"/>
    </xf>
    <xf numFmtId="165" fontId="9" fillId="16" borderId="1" xfId="0" applyNumberFormat="1" applyFont="1" applyFill="1" applyBorder="1" applyAlignment="1">
      <alignment horizontal="left" vertical="center"/>
    </xf>
    <xf numFmtId="165" fontId="9" fillId="16" borderId="13" xfId="0" applyNumberFormat="1" applyFont="1" applyFill="1" applyBorder="1" applyAlignment="1">
      <alignment horizontal="left" vertical="center"/>
    </xf>
    <xf numFmtId="165" fontId="9" fillId="16" borderId="14" xfId="0" applyNumberFormat="1" applyFont="1" applyFill="1" applyBorder="1" applyAlignment="1">
      <alignment horizontal="left" vertical="center"/>
    </xf>
    <xf numFmtId="165" fontId="9" fillId="16" borderId="15" xfId="0" applyNumberFormat="1" applyFont="1" applyFill="1" applyBorder="1" applyAlignment="1">
      <alignment horizontal="left" vertical="center"/>
    </xf>
    <xf numFmtId="165" fontId="9" fillId="16" borderId="16" xfId="0" applyNumberFormat="1" applyFont="1" applyFill="1" applyBorder="1" applyAlignment="1">
      <alignment horizontal="left" vertical="center"/>
    </xf>
    <xf numFmtId="0" fontId="3" fillId="15" borderId="17" xfId="0" applyFont="1" applyFill="1" applyBorder="1" applyAlignment="1">
      <alignment wrapText="1"/>
    </xf>
    <xf numFmtId="0" fontId="22" fillId="0" borderId="5" xfId="0" applyFont="1" applyBorder="1" applyAlignment="1">
      <alignment horizontal="center"/>
    </xf>
    <xf numFmtId="165" fontId="9" fillId="16" borderId="12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wrapText="1"/>
    </xf>
    <xf numFmtId="165" fontId="9" fillId="16" borderId="7" xfId="0" applyNumberFormat="1" applyFont="1" applyFill="1" applyBorder="1" applyAlignment="1">
      <alignment horizontal="center" vertical="center"/>
    </xf>
    <xf numFmtId="0" fontId="27" fillId="15" borderId="17" xfId="0" applyFont="1" applyFill="1" applyBorder="1" applyAlignment="1">
      <alignment wrapText="1"/>
    </xf>
    <xf numFmtId="0" fontId="27" fillId="15" borderId="11" xfId="0" applyFont="1" applyFill="1" applyBorder="1" applyAlignment="1">
      <alignment wrapText="1"/>
    </xf>
    <xf numFmtId="0" fontId="27" fillId="15" borderId="5" xfId="0" applyFont="1" applyFill="1" applyBorder="1" applyAlignment="1">
      <alignment wrapText="1"/>
    </xf>
    <xf numFmtId="9" fontId="17" fillId="10" borderId="0" xfId="19" applyFont="1" applyFill="1" applyBorder="1" applyAlignment="1"/>
    <xf numFmtId="165" fontId="15" fillId="8" borderId="17" xfId="6" applyNumberFormat="1" applyBorder="1" applyAlignment="1">
      <alignment horizontal="right" vertical="center"/>
    </xf>
    <xf numFmtId="165" fontId="15" fillId="8" borderId="4" xfId="6" applyNumberFormat="1" applyBorder="1" applyAlignment="1">
      <alignment horizontal="right" vertical="center"/>
    </xf>
    <xf numFmtId="165" fontId="15" fillId="8" borderId="11" xfId="6" applyNumberFormat="1" applyBorder="1" applyAlignment="1">
      <alignment horizontal="right" vertical="center"/>
    </xf>
    <xf numFmtId="9" fontId="17" fillId="10" borderId="4" xfId="19" applyFont="1" applyFill="1" applyBorder="1" applyAlignment="1"/>
    <xf numFmtId="9" fontId="17" fillId="10" borderId="11" xfId="19" applyFont="1" applyFill="1" applyBorder="1" applyAlignment="1"/>
    <xf numFmtId="9" fontId="11" fillId="16" borderId="15" xfId="19" applyFont="1" applyFill="1" applyBorder="1" applyAlignment="1"/>
    <xf numFmtId="9" fontId="11" fillId="16" borderId="2" xfId="19" applyFont="1" applyFill="1" applyBorder="1" applyAlignment="1"/>
    <xf numFmtId="9" fontId="11" fillId="16" borderId="9" xfId="19" applyFont="1" applyFill="1" applyBorder="1" applyAlignment="1"/>
    <xf numFmtId="9" fontId="17" fillId="10" borderId="1" xfId="19" applyFont="1" applyFill="1" applyBorder="1" applyAlignment="1"/>
    <xf numFmtId="9" fontId="11" fillId="16" borderId="1" xfId="19" applyFont="1" applyFill="1" applyBorder="1" applyAlignment="1"/>
    <xf numFmtId="9" fontId="11" fillId="16" borderId="13" xfId="19" applyFont="1" applyFill="1" applyBorder="1" applyAlignment="1"/>
    <xf numFmtId="9" fontId="11" fillId="16" borderId="10" xfId="19" applyFont="1" applyFill="1" applyBorder="1" applyAlignment="1"/>
    <xf numFmtId="9" fontId="11" fillId="16" borderId="0" xfId="19" applyFont="1" applyFill="1" applyBorder="1" applyAlignment="1"/>
    <xf numFmtId="9" fontId="11" fillId="16" borderId="14" xfId="19" applyFont="1" applyFill="1" applyBorder="1" applyAlignment="1"/>
    <xf numFmtId="9" fontId="11" fillId="16" borderId="16" xfId="19" applyFont="1" applyFill="1" applyBorder="1" applyAlignment="1"/>
    <xf numFmtId="9" fontId="17" fillId="10" borderId="17" xfId="19" applyFont="1" applyFill="1" applyBorder="1" applyAlignment="1"/>
    <xf numFmtId="9" fontId="11" fillId="17" borderId="0" xfId="19" applyFont="1" applyFill="1" applyBorder="1" applyAlignment="1"/>
    <xf numFmtId="9" fontId="11" fillId="17" borderId="9" xfId="19" applyFont="1" applyFill="1" applyBorder="1" applyAlignment="1"/>
    <xf numFmtId="9" fontId="11" fillId="17" borderId="1" xfId="19" applyFont="1" applyFill="1" applyBorder="1" applyAlignment="1"/>
    <xf numFmtId="9" fontId="11" fillId="17" borderId="13" xfId="19" applyFont="1" applyFill="1" applyBorder="1" applyAlignment="1"/>
    <xf numFmtId="9" fontId="17" fillId="10" borderId="10" xfId="19" applyFont="1" applyFill="1" applyBorder="1" applyAlignment="1"/>
    <xf numFmtId="9" fontId="11" fillId="17" borderId="14" xfId="19" applyFont="1" applyFill="1" applyBorder="1" applyAlignment="1"/>
    <xf numFmtId="9" fontId="11" fillId="17" borderId="10" xfId="19" applyFont="1" applyFill="1" applyBorder="1" applyAlignment="1"/>
    <xf numFmtId="9" fontId="11" fillId="17" borderId="15" xfId="19" applyFont="1" applyFill="1" applyBorder="1" applyAlignment="1"/>
    <xf numFmtId="9" fontId="11" fillId="17" borderId="2" xfId="19" applyFont="1" applyFill="1" applyBorder="1" applyAlignment="1"/>
    <xf numFmtId="9" fontId="11" fillId="17" borderId="16" xfId="19" applyFont="1" applyFill="1" applyBorder="1" applyAlignment="1"/>
    <xf numFmtId="9" fontId="17" fillId="10" borderId="9" xfId="19" applyFont="1" applyFill="1" applyBorder="1" applyAlignment="1"/>
    <xf numFmtId="9" fontId="11" fillId="14" borderId="1" xfId="19" applyFont="1" applyFill="1" applyBorder="1" applyAlignment="1"/>
    <xf numFmtId="9" fontId="11" fillId="14" borderId="13" xfId="19" applyFont="1" applyFill="1" applyBorder="1" applyAlignment="1"/>
    <xf numFmtId="9" fontId="11" fillId="14" borderId="0" xfId="19" applyFont="1" applyFill="1" applyBorder="1" applyAlignment="1"/>
    <xf numFmtId="9" fontId="11" fillId="14" borderId="14" xfId="19" applyFont="1" applyFill="1" applyBorder="1" applyAlignment="1"/>
    <xf numFmtId="165" fontId="9" fillId="14" borderId="6" xfId="0" applyNumberFormat="1" applyFont="1" applyFill="1" applyBorder="1" applyAlignment="1">
      <alignment horizontal="left" vertical="center"/>
    </xf>
    <xf numFmtId="165" fontId="9" fillId="14" borderId="12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0" fontId="22" fillId="0" borderId="0" xfId="0" applyFont="1" applyBorder="1" applyAlignment="1"/>
    <xf numFmtId="0" fontId="28" fillId="7" borderId="2" xfId="5" applyFont="1" applyBorder="1" applyAlignment="1">
      <alignment horizontal="left" vertical="center"/>
    </xf>
    <xf numFmtId="0" fontId="28" fillId="6" borderId="2" xfId="4" applyFont="1" applyBorder="1" applyAlignment="1">
      <alignment horizontal="left" vertical="center"/>
    </xf>
    <xf numFmtId="1" fontId="4" fillId="18" borderId="0" xfId="0" applyNumberFormat="1" applyFont="1" applyFill="1"/>
    <xf numFmtId="1" fontId="0" fillId="18" borderId="0" xfId="0" applyNumberFormat="1" applyFill="1"/>
    <xf numFmtId="0" fontId="0" fillId="18" borderId="0" xfId="0" applyFill="1"/>
    <xf numFmtId="2" fontId="0" fillId="18" borderId="0" xfId="0" applyNumberFormat="1" applyFill="1"/>
    <xf numFmtId="2" fontId="4" fillId="17" borderId="0" xfId="11" applyNumberFormat="1" applyFont="1" applyFill="1"/>
    <xf numFmtId="0" fontId="4" fillId="17" borderId="0" xfId="11" applyFont="1" applyFill="1"/>
    <xf numFmtId="2" fontId="0" fillId="17" borderId="0" xfId="0" applyNumberFormat="1" applyFill="1"/>
    <xf numFmtId="2" fontId="4" fillId="17" borderId="0" xfId="0" applyNumberFormat="1" applyFont="1" applyFill="1" applyBorder="1"/>
    <xf numFmtId="1" fontId="0" fillId="17" borderId="8" xfId="0" applyNumberFormat="1" applyFill="1" applyBorder="1"/>
    <xf numFmtId="2" fontId="0" fillId="17" borderId="0" xfId="0" applyNumberFormat="1" applyFill="1" applyBorder="1"/>
    <xf numFmtId="1" fontId="0" fillId="17" borderId="0" xfId="0" applyNumberFormat="1" applyFill="1" applyBorder="1"/>
    <xf numFmtId="0" fontId="4" fillId="17" borderId="0" xfId="12" applyFill="1"/>
    <xf numFmtId="2" fontId="4" fillId="17" borderId="0" xfId="12" applyNumberFormat="1" applyFill="1"/>
    <xf numFmtId="2" fontId="0" fillId="18" borderId="2" xfId="0" applyNumberFormat="1" applyFill="1" applyBorder="1"/>
    <xf numFmtId="0" fontId="21" fillId="14" borderId="1" xfId="2" applyFont="1" applyFill="1" applyBorder="1" applyAlignment="1">
      <alignment horizontal="right" wrapText="1"/>
    </xf>
    <xf numFmtId="0" fontId="21" fillId="14" borderId="3" xfId="2" applyFont="1" applyFill="1" applyBorder="1" applyAlignment="1">
      <alignment horizontal="right" wrapText="1"/>
    </xf>
    <xf numFmtId="9" fontId="11" fillId="17" borderId="0" xfId="19" applyFont="1" applyFill="1" applyBorder="1"/>
    <xf numFmtId="9" fontId="11" fillId="17" borderId="2" xfId="19" applyFont="1" applyFill="1" applyBorder="1"/>
    <xf numFmtId="2" fontId="4" fillId="0" borderId="0" xfId="11" applyNumberFormat="1" applyFont="1" applyFill="1"/>
    <xf numFmtId="0" fontId="29" fillId="0" borderId="0" xfId="0" applyFont="1"/>
    <xf numFmtId="0" fontId="3" fillId="19" borderId="0" xfId="0" applyFont="1" applyFill="1"/>
    <xf numFmtId="0" fontId="3" fillId="0" borderId="0" xfId="0" applyFont="1" applyFill="1"/>
    <xf numFmtId="0" fontId="0" fillId="0" borderId="0" xfId="0" applyFont="1" applyFill="1"/>
    <xf numFmtId="1" fontId="0" fillId="18" borderId="0" xfId="0" applyNumberFormat="1" applyFill="1" applyBorder="1"/>
    <xf numFmtId="0" fontId="20" fillId="0" borderId="0" xfId="12" applyFont="1" applyFill="1" applyBorder="1"/>
    <xf numFmtId="1" fontId="25" fillId="20" borderId="0" xfId="2" applyNumberFormat="1" applyFont="1" applyFill="1" applyBorder="1" applyAlignment="1">
      <alignment horizontal="right" wrapText="1"/>
    </xf>
    <xf numFmtId="1" fontId="4" fillId="0" borderId="0" xfId="12" applyNumberFormat="1" applyBorder="1"/>
    <xf numFmtId="1" fontId="4" fillId="18" borderId="0" xfId="12" applyNumberFormat="1" applyFill="1"/>
    <xf numFmtId="1" fontId="4" fillId="18" borderId="0" xfId="12" applyNumberFormat="1" applyFill="1" applyBorder="1"/>
    <xf numFmtId="1" fontId="4" fillId="0" borderId="0" xfId="12" applyNumberFormat="1" applyFill="1"/>
    <xf numFmtId="0" fontId="0" fillId="17" borderId="0" xfId="0" applyFill="1" applyBorder="1"/>
    <xf numFmtId="0" fontId="21" fillId="3" borderId="4" xfId="1" applyFont="1" applyBorder="1" applyAlignment="1">
      <alignment horizontal="left" wrapText="1"/>
    </xf>
    <xf numFmtId="0" fontId="21" fillId="3" borderId="18" xfId="1" applyFont="1" applyBorder="1" applyAlignment="1">
      <alignment horizontal="left" wrapText="1"/>
    </xf>
    <xf numFmtId="0" fontId="4" fillId="0" borderId="8" xfId="0" applyFont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4" applyFont="1" applyFill="1" applyAlignment="1">
      <alignment horizontal="center"/>
    </xf>
    <xf numFmtId="0" fontId="3" fillId="2" borderId="1" xfId="14" applyFont="1" applyFill="1" applyBorder="1" applyAlignment="1">
      <alignment horizontal="center" wrapText="1"/>
    </xf>
    <xf numFmtId="0" fontId="21" fillId="3" borderId="1" xfId="1" applyFont="1" applyBorder="1" applyAlignment="1">
      <alignment horizontal="center" wrapText="1"/>
    </xf>
    <xf numFmtId="0" fontId="3" fillId="2" borderId="1" xfId="14" applyFont="1" applyFill="1" applyBorder="1" applyAlignment="1">
      <alignment horizontal="center" vertical="center" wrapText="1"/>
    </xf>
    <xf numFmtId="0" fontId="3" fillId="2" borderId="1" xfId="14" applyFont="1" applyFill="1" applyBorder="1" applyAlignment="1">
      <alignment horizontal="center" vertical="center"/>
    </xf>
    <xf numFmtId="0" fontId="21" fillId="3" borderId="4" xfId="1" applyFont="1" applyBorder="1" applyAlignment="1">
      <alignment horizontal="center" wrapText="1"/>
    </xf>
    <xf numFmtId="0" fontId="21" fillId="3" borderId="18" xfId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9" fontId="25" fillId="17" borderId="2" xfId="19" applyNumberFormat="1" applyFont="1" applyFill="1" applyBorder="1" applyAlignment="1">
      <alignment horizontal="right" wrapText="1"/>
    </xf>
    <xf numFmtId="1" fontId="4" fillId="18" borderId="8" xfId="11" applyNumberFormat="1" applyFont="1" applyFill="1" applyBorder="1"/>
    <xf numFmtId="0" fontId="0" fillId="18" borderId="8" xfId="0" applyFill="1" applyBorder="1"/>
    <xf numFmtId="0" fontId="0" fillId="18" borderId="0" xfId="0" applyFill="1" applyBorder="1"/>
    <xf numFmtId="1" fontId="0" fillId="18" borderId="2" xfId="0" applyNumberFormat="1" applyFill="1" applyBorder="1"/>
    <xf numFmtId="1" fontId="4" fillId="18" borderId="0" xfId="11" applyNumberFormat="1" applyFont="1" applyFill="1" applyBorder="1"/>
    <xf numFmtId="0" fontId="14" fillId="5" borderId="0" xfId="3"/>
    <xf numFmtId="0" fontId="4" fillId="0" borderId="0" xfId="12" applyFill="1" applyAlignment="1"/>
    <xf numFmtId="2" fontId="4" fillId="0" borderId="0" xfId="12" applyNumberFormat="1" applyFill="1"/>
    <xf numFmtId="2" fontId="4" fillId="0" borderId="0" xfId="12" applyNumberFormat="1" applyFill="1" applyBorder="1"/>
    <xf numFmtId="0" fontId="4" fillId="0" borderId="0" xfId="12" applyFill="1" applyAlignment="1">
      <alignment wrapText="1"/>
    </xf>
    <xf numFmtId="0" fontId="4" fillId="18" borderId="0" xfId="12" applyFill="1"/>
    <xf numFmtId="165" fontId="8" fillId="0" borderId="17" xfId="0" applyNumberFormat="1" applyFont="1" applyBorder="1" applyAlignment="1">
      <alignment horizontal="left" vertic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11" xfId="0" applyBorder="1" applyAlignment="1"/>
    <xf numFmtId="165" fontId="9" fillId="14" borderId="10" xfId="0" applyNumberFormat="1" applyFont="1" applyFill="1" applyBorder="1" applyAlignment="1">
      <alignment horizontal="left" vertical="center"/>
    </xf>
    <xf numFmtId="1" fontId="3" fillId="14" borderId="14" xfId="0" applyNumberFormat="1" applyFont="1" applyFill="1" applyBorder="1" applyAlignment="1"/>
    <xf numFmtId="165" fontId="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/>
    <xf numFmtId="1" fontId="3" fillId="17" borderId="14" xfId="0" applyNumberFormat="1" applyFont="1" applyFill="1" applyBorder="1" applyAlignment="1"/>
    <xf numFmtId="1" fontId="0" fillId="16" borderId="0" xfId="0" applyNumberFormat="1" applyFill="1" applyBorder="1" applyAlignment="1"/>
    <xf numFmtId="0" fontId="0" fillId="16" borderId="0" xfId="0" applyFill="1" applyBorder="1" applyAlignment="1"/>
    <xf numFmtId="1" fontId="3" fillId="16" borderId="14" xfId="0" applyNumberFormat="1" applyFont="1" applyFill="1" applyBorder="1" applyAlignment="1"/>
    <xf numFmtId="1" fontId="3" fillId="16" borderId="16" xfId="0" applyNumberFormat="1" applyFont="1" applyFill="1" applyBorder="1" applyAlignment="1"/>
    <xf numFmtId="2" fontId="15" fillId="0" borderId="0" xfId="6" applyNumberFormat="1" applyFill="1" applyBorder="1" applyAlignment="1">
      <alignment horizontal="right"/>
    </xf>
    <xf numFmtId="164" fontId="0" fillId="0" borderId="0" xfId="0" applyNumberFormat="1"/>
    <xf numFmtId="1" fontId="17" fillId="10" borderId="0" xfId="10" applyNumberFormat="1" applyBorder="1" applyAlignment="1"/>
    <xf numFmtId="1" fontId="0" fillId="0" borderId="0" xfId="0" applyNumberFormat="1" applyFill="1" applyBorder="1"/>
    <xf numFmtId="0" fontId="21" fillId="20" borderId="3" xfId="2" applyFont="1" applyFill="1" applyBorder="1" applyAlignment="1">
      <alignment horizontal="center" wrapText="1"/>
    </xf>
    <xf numFmtId="0" fontId="21" fillId="13" borderId="3" xfId="2" applyFont="1" applyFill="1" applyBorder="1" applyAlignment="1">
      <alignment horizontal="center" wrapText="1"/>
    </xf>
    <xf numFmtId="0" fontId="4" fillId="17" borderId="0" xfId="12" applyFill="1"/>
    <xf numFmtId="2" fontId="4" fillId="17" borderId="0" xfId="12" applyNumberFormat="1" applyFill="1"/>
    <xf numFmtId="0" fontId="4" fillId="17" borderId="0" xfId="12" applyFill="1" applyBorder="1"/>
    <xf numFmtId="2" fontId="4" fillId="0" borderId="0" xfId="12" applyNumberFormat="1"/>
    <xf numFmtId="2" fontId="4" fillId="17" borderId="0" xfId="12" applyNumberFormat="1" applyFill="1" applyBorder="1"/>
    <xf numFmtId="1" fontId="4" fillId="17" borderId="0" xfId="12" applyNumberFormat="1" applyFill="1"/>
    <xf numFmtId="0" fontId="4" fillId="0" borderId="2" xfId="12" applyFill="1" applyBorder="1"/>
    <xf numFmtId="0" fontId="4" fillId="0" borderId="2" xfId="12" applyBorder="1"/>
    <xf numFmtId="0" fontId="4" fillId="17" borderId="2" xfId="12" applyFill="1" applyBorder="1"/>
    <xf numFmtId="2" fontId="4" fillId="17" borderId="2" xfId="12" applyNumberFormat="1" applyFill="1" applyBorder="1"/>
    <xf numFmtId="164" fontId="4" fillId="17" borderId="0" xfId="12" applyNumberFormat="1" applyFill="1"/>
    <xf numFmtId="1" fontId="4" fillId="0" borderId="2" xfId="12" applyNumberFormat="1" applyBorder="1"/>
    <xf numFmtId="164" fontId="4" fillId="17" borderId="2" xfId="12" applyNumberFormat="1" applyFill="1" applyBorder="1"/>
    <xf numFmtId="2" fontId="4" fillId="0" borderId="0" xfId="12" applyNumberFormat="1" applyBorder="1"/>
    <xf numFmtId="0" fontId="21" fillId="3" borderId="1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1" fontId="4" fillId="18" borderId="2" xfId="12" applyNumberFormat="1" applyFill="1" applyBorder="1"/>
    <xf numFmtId="0" fontId="4" fillId="17" borderId="2" xfId="12" applyFill="1" applyBorder="1"/>
    <xf numFmtId="166" fontId="0" fillId="17" borderId="0" xfId="0" applyNumberFormat="1" applyFill="1" applyBorder="1"/>
    <xf numFmtId="166" fontId="0" fillId="17" borderId="0" xfId="0" applyNumberFormat="1" applyFill="1"/>
    <xf numFmtId="1" fontId="4" fillId="0" borderId="0" xfId="12" applyNumberFormat="1" applyFill="1" applyBorder="1"/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3" borderId="3" xfId="1" applyNumberFormat="1" applyFont="1" applyBorder="1" applyAlignment="1">
      <alignment horizontal="left" wrapText="1"/>
    </xf>
    <xf numFmtId="167" fontId="4" fillId="0" borderId="0" xfId="0" applyNumberFormat="1" applyFont="1" applyFill="1"/>
    <xf numFmtId="167" fontId="0" fillId="0" borderId="0" xfId="0" applyNumberFormat="1" applyFill="1"/>
    <xf numFmtId="167" fontId="0" fillId="0" borderId="0" xfId="0" applyNumberFormat="1"/>
    <xf numFmtId="167" fontId="21" fillId="3" borderId="3" xfId="1" applyNumberFormat="1" applyFont="1" applyBorder="1" applyAlignment="1">
      <alignment horizontal="center" wrapText="1"/>
    </xf>
    <xf numFmtId="167" fontId="0" fillId="0" borderId="0" xfId="0" applyNumberFormat="1" applyFill="1" applyAlignment="1">
      <alignment wrapText="1"/>
    </xf>
    <xf numFmtId="167" fontId="0" fillId="0" borderId="0" xfId="0" applyNumberFormat="1" applyFill="1" applyAlignment="1"/>
    <xf numFmtId="167" fontId="4" fillId="0" borderId="0" xfId="12" applyNumberFormat="1" applyFont="1"/>
    <xf numFmtId="167" fontId="4" fillId="0" borderId="0" xfId="12" applyNumberFormat="1"/>
    <xf numFmtId="167" fontId="5" fillId="0" borderId="0" xfId="12" applyNumberFormat="1" applyFont="1"/>
    <xf numFmtId="167" fontId="3" fillId="2" borderId="1" xfId="12" applyNumberFormat="1" applyFont="1" applyFill="1" applyBorder="1" applyAlignment="1">
      <alignment horizontal="left"/>
    </xf>
    <xf numFmtId="167" fontId="3" fillId="2" borderId="4" xfId="12" applyNumberFormat="1" applyFont="1" applyFill="1" applyBorder="1" applyAlignment="1">
      <alignment horizontal="left"/>
    </xf>
    <xf numFmtId="167" fontId="4" fillId="0" borderId="0" xfId="12" applyNumberFormat="1" applyFont="1" applyFill="1"/>
    <xf numFmtId="167" fontId="4" fillId="0" borderId="0" xfId="12" applyNumberFormat="1" applyFill="1"/>
    <xf numFmtId="167" fontId="4" fillId="0" borderId="0" xfId="12" applyNumberFormat="1" applyFill="1" applyAlignment="1"/>
    <xf numFmtId="2" fontId="0" fillId="18" borderId="0" xfId="0" applyNumberFormat="1" applyFill="1"/>
    <xf numFmtId="2" fontId="0" fillId="18" borderId="2" xfId="0" applyNumberFormat="1" applyFill="1" applyBorder="1"/>
    <xf numFmtId="0" fontId="21" fillId="4" borderId="4" xfId="2" applyFont="1" applyBorder="1" applyAlignment="1">
      <alignment horizontal="center" wrapText="1"/>
    </xf>
    <xf numFmtId="0" fontId="26" fillId="4" borderId="4" xfId="2" applyFont="1" applyBorder="1" applyAlignment="1">
      <alignment horizontal="center" wrapText="1"/>
    </xf>
  </cellXfs>
  <cellStyles count="30">
    <cellStyle name="20% - Accent5" xfId="1" builtinId="46"/>
    <cellStyle name="40% - Accent3" xfId="2" builtinId="39"/>
    <cellStyle name="60% - Accent2" xfId="3" builtinId="36"/>
    <cellStyle name="Accent1" xfId="4" builtinId="29"/>
    <cellStyle name="Accent2" xfId="5" builtinId="33"/>
    <cellStyle name="Calculation" xfId="6" builtinId="22"/>
    <cellStyle name="Comma 2" xfId="7" xr:uid="{00000000-0005-0000-0000-000006000000}"/>
    <cellStyle name="Comma 2 2" xfId="8" xr:uid="{00000000-0005-0000-0000-000007000000}"/>
    <cellStyle name="Good" xfId="9" builtinId="26"/>
    <cellStyle name="Input" xfId="10" builtinId="20"/>
    <cellStyle name="Neutral" xfId="11" builtinId="28"/>
    <cellStyle name="Normal" xfId="0" builtinId="0"/>
    <cellStyle name="Normal 10" xfId="12" xr:uid="{00000000-0005-0000-0000-00000C000000}"/>
    <cellStyle name="Normal 2" xfId="13" xr:uid="{00000000-0005-0000-0000-00000D000000}"/>
    <cellStyle name="Normal 4" xfId="14" xr:uid="{00000000-0005-0000-0000-00000E000000}"/>
    <cellStyle name="Normal 4 2" xfId="15" xr:uid="{00000000-0005-0000-0000-00000F000000}"/>
    <cellStyle name="Normal 8" xfId="16" xr:uid="{00000000-0005-0000-0000-000010000000}"/>
    <cellStyle name="Normal 9 2" xfId="17" xr:uid="{00000000-0005-0000-0000-000011000000}"/>
    <cellStyle name="Normale_B2020" xfId="18" xr:uid="{00000000-0005-0000-0000-000012000000}"/>
    <cellStyle name="Percent" xfId="19" builtinId="5"/>
    <cellStyle name="Percent 2" xfId="20" xr:uid="{00000000-0005-0000-0000-000014000000}"/>
    <cellStyle name="Percent 3" xfId="21" xr:uid="{00000000-0005-0000-0000-000015000000}"/>
    <cellStyle name="Percent 3 2" xfId="22" xr:uid="{00000000-0005-0000-0000-000016000000}"/>
    <cellStyle name="Percent 3 3" xfId="23" xr:uid="{00000000-0005-0000-0000-000017000000}"/>
    <cellStyle name="Percent 4" xfId="24" xr:uid="{00000000-0005-0000-0000-000018000000}"/>
    <cellStyle name="Percent 4 2" xfId="25" xr:uid="{00000000-0005-0000-0000-000019000000}"/>
    <cellStyle name="Percent 4 3" xfId="26" xr:uid="{00000000-0005-0000-0000-00001A000000}"/>
    <cellStyle name="Percent 5" xfId="27" xr:uid="{00000000-0005-0000-0000-00001B000000}"/>
    <cellStyle name="Percent 6" xfId="28" xr:uid="{00000000-0005-0000-0000-00001C000000}"/>
    <cellStyle name="Standard_Sce_D_Extraction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26</xdr:row>
      <xdr:rowOff>11430</xdr:rowOff>
    </xdr:from>
    <xdr:to>
      <xdr:col>11</xdr:col>
      <xdr:colOff>703367</xdr:colOff>
      <xdr:row>31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507A29-DD5D-49E4-99C2-38236CFBDC46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158539</xdr:rowOff>
    </xdr:from>
    <xdr:to>
      <xdr:col>13</xdr:col>
      <xdr:colOff>31741</xdr:colOff>
      <xdr:row>38</xdr:row>
      <xdr:rowOff>36830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044F49-FA82-4966-822E-1DC1BFF83EDE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0</xdr:rowOff>
    </xdr:from>
    <xdr:to>
      <xdr:col>12</xdr:col>
      <xdr:colOff>73025</xdr:colOff>
      <xdr:row>31</xdr:row>
      <xdr:rowOff>140960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1F9F68-35CE-43F4-ADB7-1ACAE5842EED}"/>
            </a:ext>
          </a:extLst>
        </xdr:cNvPr>
        <xdr:cNvSpPr txBox="1"/>
      </xdr:nvSpPr>
      <xdr:spPr>
        <a:xfrm>
          <a:off x="5122333" y="478366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6</xdr:col>
      <xdr:colOff>684108</xdr:colOff>
      <xdr:row>33</xdr:row>
      <xdr:rowOff>146262</xdr:rowOff>
    </xdr:from>
    <xdr:to>
      <xdr:col>13</xdr:col>
      <xdr:colOff>66869</xdr:colOff>
      <xdr:row>38</xdr:row>
      <xdr:rowOff>27343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436CED-1C60-4429-9460-6047673A885C}"/>
            </a:ext>
          </a:extLst>
        </xdr:cNvPr>
        <xdr:cNvSpPr txBox="1"/>
      </xdr:nvSpPr>
      <xdr:spPr>
        <a:xfrm>
          <a:off x="5810251" y="6074834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0</xdr:rowOff>
    </xdr:from>
    <xdr:to>
      <xdr:col>12</xdr:col>
      <xdr:colOff>0</xdr:colOff>
      <xdr:row>31</xdr:row>
      <xdr:rowOff>128221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DC9583-9554-4058-8AA5-3F21DA5E365B}"/>
            </a:ext>
          </a:extLst>
        </xdr:cNvPr>
        <xdr:cNvSpPr txBox="1"/>
      </xdr:nvSpPr>
      <xdr:spPr>
        <a:xfrm>
          <a:off x="5090583" y="4783667"/>
          <a:ext cx="4254500" cy="946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0</xdr:colOff>
      <xdr:row>38</xdr:row>
      <xdr:rowOff>15829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6E4F6F-90D2-4B86-A3AD-675372CA5D58}"/>
            </a:ext>
          </a:extLst>
        </xdr:cNvPr>
        <xdr:cNvSpPr txBox="1"/>
      </xdr:nvSpPr>
      <xdr:spPr>
        <a:xfrm>
          <a:off x="5799667" y="6085417"/>
          <a:ext cx="4254500" cy="660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19050</xdr:rowOff>
    </xdr:from>
    <xdr:to>
      <xdr:col>2</xdr:col>
      <xdr:colOff>285750</xdr:colOff>
      <xdr:row>33</xdr:row>
      <xdr:rowOff>152400</xdr:rowOff>
    </xdr:to>
    <xdr:pic>
      <xdr:nvPicPr>
        <xdr:cNvPr id="57784" name="Picture 6">
          <a:extLst>
            <a:ext uri="{FF2B5EF4-FFF2-40B4-BE49-F238E27FC236}">
              <a16:creationId xmlns:a16="http://schemas.microsoft.com/office/drawing/2014/main" id="{BB2AE8E4-2F49-4B0E-9943-CFC182F8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28575</xdr:colOff>
      <xdr:row>20</xdr:row>
      <xdr:rowOff>142875</xdr:rowOff>
    </xdr:from>
    <xdr:to>
      <xdr:col>27</xdr:col>
      <xdr:colOff>209550</xdr:colOff>
      <xdr:row>31</xdr:row>
      <xdr:rowOff>85725</xdr:rowOff>
    </xdr:to>
    <xdr:pic>
      <xdr:nvPicPr>
        <xdr:cNvPr id="57785" name="Picture 3">
          <a:extLst>
            <a:ext uri="{FF2B5EF4-FFF2-40B4-BE49-F238E27FC236}">
              <a16:creationId xmlns:a16="http://schemas.microsoft.com/office/drawing/2014/main" id="{7366A755-19AF-4931-8F66-5F85244ED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2933700"/>
          <a:ext cx="261937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57150</xdr:colOff>
      <xdr:row>31</xdr:row>
      <xdr:rowOff>152400</xdr:rowOff>
    </xdr:from>
    <xdr:to>
      <xdr:col>27</xdr:col>
      <xdr:colOff>257175</xdr:colOff>
      <xdr:row>42</xdr:row>
      <xdr:rowOff>0</xdr:rowOff>
    </xdr:to>
    <xdr:pic>
      <xdr:nvPicPr>
        <xdr:cNvPr id="57786" name="Picture 21">
          <a:extLst>
            <a:ext uri="{FF2B5EF4-FFF2-40B4-BE49-F238E27FC236}">
              <a16:creationId xmlns:a16="http://schemas.microsoft.com/office/drawing/2014/main" id="{60C0A332-5DAE-451F-A189-292689B4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4724400"/>
          <a:ext cx="26384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9525</xdr:colOff>
      <xdr:row>21</xdr:row>
      <xdr:rowOff>0</xdr:rowOff>
    </xdr:from>
    <xdr:to>
      <xdr:col>22</xdr:col>
      <xdr:colOff>9525</xdr:colOff>
      <xdr:row>39</xdr:row>
      <xdr:rowOff>152400</xdr:rowOff>
    </xdr:to>
    <xdr:pic>
      <xdr:nvPicPr>
        <xdr:cNvPr id="57788" name="Picture 14">
          <a:extLst>
            <a:ext uri="{FF2B5EF4-FFF2-40B4-BE49-F238E27FC236}">
              <a16:creationId xmlns:a16="http://schemas.microsoft.com/office/drawing/2014/main" id="{73FC916B-92C4-47D5-8611-8C6CE0F8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952750"/>
          <a:ext cx="5486400" cy="306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552450</xdr:colOff>
      <xdr:row>33</xdr:row>
      <xdr:rowOff>47625</xdr:rowOff>
    </xdr:to>
    <xdr:pic>
      <xdr:nvPicPr>
        <xdr:cNvPr id="57790" name="Picture 3">
          <a:extLst>
            <a:ext uri="{FF2B5EF4-FFF2-40B4-BE49-F238E27FC236}">
              <a16:creationId xmlns:a16="http://schemas.microsoft.com/office/drawing/2014/main" id="{0C8189F8-8190-44F6-8154-CC398851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952750"/>
          <a:ext cx="360045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33</xdr:row>
      <xdr:rowOff>38100</xdr:rowOff>
    </xdr:from>
    <xdr:to>
      <xdr:col>8</xdr:col>
      <xdr:colOff>552450</xdr:colOff>
      <xdr:row>46</xdr:row>
      <xdr:rowOff>0</xdr:rowOff>
    </xdr:to>
    <xdr:pic>
      <xdr:nvPicPr>
        <xdr:cNvPr id="57791" name="Picture 4">
          <a:extLst>
            <a:ext uri="{FF2B5EF4-FFF2-40B4-BE49-F238E27FC236}">
              <a16:creationId xmlns:a16="http://schemas.microsoft.com/office/drawing/2014/main" id="{5AABE586-B9F3-49E0-9223-4EAFB653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33950"/>
          <a:ext cx="36004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45</xdr:row>
      <xdr:rowOff>142875</xdr:rowOff>
    </xdr:from>
    <xdr:to>
      <xdr:col>8</xdr:col>
      <xdr:colOff>552450</xdr:colOff>
      <xdr:row>58</xdr:row>
      <xdr:rowOff>142875</xdr:rowOff>
    </xdr:to>
    <xdr:pic>
      <xdr:nvPicPr>
        <xdr:cNvPr id="57792" name="Picture 5">
          <a:extLst>
            <a:ext uri="{FF2B5EF4-FFF2-40B4-BE49-F238E27FC236}">
              <a16:creationId xmlns:a16="http://schemas.microsoft.com/office/drawing/2014/main" id="{236DB7FE-8FFF-4E65-B7F3-6F89F4F7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981825"/>
          <a:ext cx="36004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123825</xdr:rowOff>
    </xdr:from>
    <xdr:to>
      <xdr:col>8</xdr:col>
      <xdr:colOff>552450</xdr:colOff>
      <xdr:row>68</xdr:row>
      <xdr:rowOff>28575</xdr:rowOff>
    </xdr:to>
    <xdr:pic>
      <xdr:nvPicPr>
        <xdr:cNvPr id="57793" name="Picture 6">
          <a:extLst>
            <a:ext uri="{FF2B5EF4-FFF2-40B4-BE49-F238E27FC236}">
              <a16:creationId xmlns:a16="http://schemas.microsoft.com/office/drawing/2014/main" id="{D53773FF-7D82-4EC3-B053-279D74ABB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067800"/>
          <a:ext cx="36004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67</xdr:row>
      <xdr:rowOff>104775</xdr:rowOff>
    </xdr:from>
    <xdr:to>
      <xdr:col>8</xdr:col>
      <xdr:colOff>552450</xdr:colOff>
      <xdr:row>76</xdr:row>
      <xdr:rowOff>123825</xdr:rowOff>
    </xdr:to>
    <xdr:pic>
      <xdr:nvPicPr>
        <xdr:cNvPr id="57794" name="Picture 7">
          <a:extLst>
            <a:ext uri="{FF2B5EF4-FFF2-40B4-BE49-F238E27FC236}">
              <a16:creationId xmlns:a16="http://schemas.microsoft.com/office/drawing/2014/main" id="{4A93D771-FA93-498C-938E-CC604288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506075"/>
          <a:ext cx="36004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11</xdr:col>
      <xdr:colOff>275738</xdr:colOff>
      <xdr:row>15</xdr:row>
      <xdr:rowOff>31452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D8412-2E24-40E8-A535-2C08D60F8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01875" y="158750"/>
          <a:ext cx="3895238" cy="2380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2299252</xdr:colOff>
      <xdr:row>23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BC890C-13ED-4C6B-8A0D-BEB54FC7EC61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>
            <a:lnSpc>
              <a:spcPts val="12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19</xdr:row>
      <xdr:rowOff>0</xdr:rowOff>
    </xdr:from>
    <xdr:to>
      <xdr:col>12</xdr:col>
      <xdr:colOff>2325972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9540C-B128-4A17-AF36-B2E2B1071C8D}"/>
            </a:ext>
          </a:extLst>
        </xdr:cNvPr>
        <xdr:cNvSpPr txBox="1"/>
      </xdr:nvSpPr>
      <xdr:spPr>
        <a:xfrm>
          <a:off x="6515100" y="3733800"/>
          <a:ext cx="4467225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13</xdr:col>
      <xdr:colOff>0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0490BB-2BA7-4E64-9BB4-9ED58A562369}"/>
            </a:ext>
          </a:extLst>
        </xdr:cNvPr>
        <xdr:cNvSpPr txBox="1"/>
      </xdr:nvSpPr>
      <xdr:spPr>
        <a:xfrm>
          <a:off x="6457950" y="3733800"/>
          <a:ext cx="44862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13</xdr:row>
      <xdr:rowOff>9525</xdr:rowOff>
    </xdr:from>
    <xdr:to>
      <xdr:col>11</xdr:col>
      <xdr:colOff>2695515</xdr:colOff>
      <xdr:row>19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13BCE9-D672-433E-ADB5-4F1839C206D9}"/>
            </a:ext>
          </a:extLst>
        </xdr:cNvPr>
        <xdr:cNvSpPr txBox="1"/>
      </xdr:nvSpPr>
      <xdr:spPr>
        <a:xfrm>
          <a:off x="6362700" y="2952750"/>
          <a:ext cx="478155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11</xdr:col>
      <xdr:colOff>2482215</xdr:colOff>
      <xdr:row>21</xdr:row>
      <xdr:rowOff>150512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723471-C767-46F3-94E1-EA4B868D92DC}"/>
            </a:ext>
          </a:extLst>
        </xdr:cNvPr>
        <xdr:cNvSpPr txBox="1"/>
      </xdr:nvSpPr>
      <xdr:spPr>
        <a:xfrm>
          <a:off x="6353175" y="3124200"/>
          <a:ext cx="47910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nuclear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nuclear commodity.</a:t>
          </a:r>
          <a:endParaRPr lang="en-GB"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</xdr:colOff>
      <xdr:row>24</xdr:row>
      <xdr:rowOff>76200</xdr:rowOff>
    </xdr:from>
    <xdr:to>
      <xdr:col>13</xdr:col>
      <xdr:colOff>64770</xdr:colOff>
      <xdr:row>30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00CCCE-906C-4044-BF88-FEFF4D3AFD20}"/>
            </a:ext>
          </a:extLst>
        </xdr:cNvPr>
        <xdr:cNvSpPr txBox="1"/>
      </xdr:nvSpPr>
      <xdr:spPr>
        <a:xfrm>
          <a:off x="6610350" y="4876800"/>
          <a:ext cx="6644640" cy="10153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14391</xdr:colOff>
      <xdr:row>21</xdr:row>
      <xdr:rowOff>11854</xdr:rowOff>
    </xdr:from>
    <xdr:to>
      <xdr:col>29</xdr:col>
      <xdr:colOff>38080</xdr:colOff>
      <xdr:row>27</xdr:row>
      <xdr:rowOff>12732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A2220C-07E4-4FBC-BBA1-9B9C713158AD}"/>
            </a:ext>
          </a:extLst>
        </xdr:cNvPr>
        <xdr:cNvSpPr txBox="1"/>
      </xdr:nvSpPr>
      <xdr:spPr>
        <a:xfrm>
          <a:off x="12942991" y="4524587"/>
          <a:ext cx="7025622" cy="101687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10</xdr:col>
      <xdr:colOff>552855</xdr:colOff>
      <xdr:row>37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FEB3FC-3FA6-46E4-B782-B405B2155964}"/>
            </a:ext>
          </a:extLst>
        </xdr:cNvPr>
        <xdr:cNvSpPr txBox="1"/>
      </xdr:nvSpPr>
      <xdr:spPr>
        <a:xfrm>
          <a:off x="201083" y="6794500"/>
          <a:ext cx="7294439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ELCTNOIL00 can be installed from the base year to cover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additional capacity needed for the reserve equation (5%)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173354</xdr:colOff>
      <xdr:row>14</xdr:row>
      <xdr:rowOff>144780</xdr:rowOff>
    </xdr:from>
    <xdr:to>
      <xdr:col>18</xdr:col>
      <xdr:colOff>57254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35140B-994A-4DBF-BB94-ACC394BA6DB5}"/>
            </a:ext>
          </a:extLst>
        </xdr:cNvPr>
        <xdr:cNvSpPr txBox="1"/>
      </xdr:nvSpPr>
      <xdr:spPr>
        <a:xfrm>
          <a:off x="6863714" y="3124200"/>
          <a:ext cx="6246600" cy="836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173354</xdr:colOff>
      <xdr:row>14</xdr:row>
      <xdr:rowOff>144780</xdr:rowOff>
    </xdr:from>
    <xdr:to>
      <xdr:col>18</xdr:col>
      <xdr:colOff>57254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811365-F82C-438E-8134-96B576652735}"/>
            </a:ext>
          </a:extLst>
        </xdr:cNvPr>
        <xdr:cNvSpPr txBox="1"/>
      </xdr:nvSpPr>
      <xdr:spPr>
        <a:xfrm>
          <a:off x="6863714" y="3124200"/>
          <a:ext cx="6246600" cy="836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87629</xdr:colOff>
      <xdr:row>14</xdr:row>
      <xdr:rowOff>144780</xdr:rowOff>
    </xdr:from>
    <xdr:to>
      <xdr:col>20</xdr:col>
      <xdr:colOff>152504</xdr:colOff>
      <xdr:row>21</xdr:row>
      <xdr:rowOff>43867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C5B132-8384-4710-A4C3-1E8760EFC650}"/>
            </a:ext>
          </a:extLst>
        </xdr:cNvPr>
        <xdr:cNvSpPr txBox="1"/>
      </xdr:nvSpPr>
      <xdr:spPr>
        <a:xfrm>
          <a:off x="9284969" y="2994660"/>
          <a:ext cx="7343878" cy="10820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0</xdr:rowOff>
    </xdr:from>
    <xdr:to>
      <xdr:col>17</xdr:col>
      <xdr:colOff>3844732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69FDEA-AEE3-421E-9124-048C690CC8D2}"/>
            </a:ext>
          </a:extLst>
        </xdr:cNvPr>
        <xdr:cNvSpPr txBox="1"/>
      </xdr:nvSpPr>
      <xdr:spPr>
        <a:xfrm>
          <a:off x="9800167" y="4011083"/>
          <a:ext cx="6011333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</xdr:colOff>
      <xdr:row>19</xdr:row>
      <xdr:rowOff>144780</xdr:rowOff>
    </xdr:from>
    <xdr:to>
      <xdr:col>6</xdr:col>
      <xdr:colOff>342886</xdr:colOff>
      <xdr:row>23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3FB7D7-37FA-4A60-A38F-889780E9E6D3}"/>
            </a:ext>
          </a:extLst>
        </xdr:cNvPr>
        <xdr:cNvSpPr txBox="1"/>
      </xdr:nvSpPr>
      <xdr:spPr>
        <a:xfrm>
          <a:off x="91440" y="3147060"/>
          <a:ext cx="4514844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"/>
  <sheetViews>
    <sheetView zoomScale="90" zoomScaleNormal="90" workbookViewId="0">
      <selection activeCell="F4" sqref="F4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4.42578125" customWidth="1"/>
    <col min="4" max="4" width="12.28515625" customWidth="1"/>
    <col min="5" max="5" width="11.85546875" customWidth="1"/>
    <col min="6" max="6" width="14.28515625" customWidth="1"/>
    <col min="7" max="11" width="11.28515625" customWidth="1"/>
    <col min="12" max="13" width="10.85546875" customWidth="1"/>
    <col min="14" max="14" width="12.5703125" bestFit="1" customWidth="1"/>
    <col min="15" max="15" width="2" bestFit="1" customWidth="1"/>
    <col min="16" max="16" width="12.28515625" bestFit="1" customWidth="1"/>
    <col min="18" max="18" width="6.7109375" bestFit="1" customWidth="1"/>
    <col min="19" max="19" width="9.28515625" bestFit="1" customWidth="1"/>
    <col min="20" max="20" width="2" bestFit="1" customWidth="1"/>
    <col min="21" max="21" width="21.42578125" bestFit="1" customWidth="1"/>
    <col min="22" max="22" width="22.140625" customWidth="1"/>
    <col min="23" max="30" width="10.5703125" customWidth="1"/>
  </cols>
  <sheetData>
    <row r="1" spans="1:30" s="9" customFormat="1" x14ac:dyDescent="0.2">
      <c r="P1" s="35" t="s">
        <v>119</v>
      </c>
      <c r="Q1" s="1" t="s">
        <v>120</v>
      </c>
      <c r="R1" s="1" t="s">
        <v>121</v>
      </c>
      <c r="S1" s="1" t="s">
        <v>141</v>
      </c>
    </row>
    <row r="2" spans="1:30" ht="15.75" x14ac:dyDescent="0.25">
      <c r="C2" s="10"/>
      <c r="D2" s="74" t="s">
        <v>47</v>
      </c>
      <c r="E2" s="74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74" t="s">
        <v>54</v>
      </c>
      <c r="L2" s="46"/>
      <c r="M2" s="9"/>
      <c r="P2" s="11"/>
      <c r="Q2" s="72" t="s">
        <v>197</v>
      </c>
      <c r="R2" s="20" t="s">
        <v>97</v>
      </c>
      <c r="S2" s="20" t="s">
        <v>142</v>
      </c>
      <c r="V2" s="10"/>
      <c r="W2" s="74" t="s">
        <v>47</v>
      </c>
      <c r="X2" s="74" t="s">
        <v>48</v>
      </c>
      <c r="Y2" s="74" t="s">
        <v>49</v>
      </c>
      <c r="Z2" s="74" t="s">
        <v>50</v>
      </c>
      <c r="AA2" s="74" t="s">
        <v>51</v>
      </c>
      <c r="AB2" s="74" t="s">
        <v>52</v>
      </c>
      <c r="AC2" s="74" t="s">
        <v>53</v>
      </c>
      <c r="AD2" s="74" t="s">
        <v>54</v>
      </c>
    </row>
    <row r="3" spans="1:30" ht="25.5" x14ac:dyDescent="0.2">
      <c r="C3" s="12"/>
      <c r="D3" s="75" t="s">
        <v>55</v>
      </c>
      <c r="E3" s="75" t="s">
        <v>56</v>
      </c>
      <c r="F3" s="75" t="s">
        <v>218</v>
      </c>
      <c r="G3" s="75" t="s">
        <v>57</v>
      </c>
      <c r="H3" s="75" t="s">
        <v>58</v>
      </c>
      <c r="I3" s="75" t="s">
        <v>59</v>
      </c>
      <c r="J3" s="75" t="s">
        <v>60</v>
      </c>
      <c r="K3" s="75" t="s">
        <v>112</v>
      </c>
      <c r="L3" s="70" t="s">
        <v>61</v>
      </c>
      <c r="M3" s="9"/>
      <c r="U3" s="151" t="s">
        <v>188</v>
      </c>
      <c r="V3" s="12"/>
      <c r="W3" s="75" t="s">
        <v>55</v>
      </c>
      <c r="X3" s="75" t="s">
        <v>56</v>
      </c>
      <c r="Y3" s="75" t="s">
        <v>192</v>
      </c>
      <c r="Z3" s="75" t="s">
        <v>57</v>
      </c>
      <c r="AA3" s="75" t="s">
        <v>58</v>
      </c>
      <c r="AB3" s="75" t="s">
        <v>59</v>
      </c>
      <c r="AC3" s="75" t="s">
        <v>60</v>
      </c>
      <c r="AD3" s="75" t="s">
        <v>112</v>
      </c>
    </row>
    <row r="4" spans="1:30" x14ac:dyDescent="0.2">
      <c r="C4" s="210" t="s">
        <v>62</v>
      </c>
      <c r="D4" s="211"/>
      <c r="E4" s="211"/>
      <c r="F4" s="211"/>
      <c r="G4" s="212"/>
      <c r="H4" s="212"/>
      <c r="I4" s="212"/>
      <c r="J4" s="212"/>
      <c r="K4" s="212"/>
      <c r="L4" s="213"/>
      <c r="M4" s="9"/>
      <c r="V4" s="13" t="s">
        <v>62</v>
      </c>
      <c r="W4" s="12"/>
      <c r="X4" s="12"/>
      <c r="Y4" s="12"/>
      <c r="Z4" s="12"/>
      <c r="AA4" s="12"/>
      <c r="AB4" s="12"/>
      <c r="AC4" s="12"/>
      <c r="AD4" s="12"/>
    </row>
    <row r="5" spans="1:30" ht="15" x14ac:dyDescent="0.25">
      <c r="B5" s="76" t="s">
        <v>63</v>
      </c>
      <c r="C5" s="214" t="s">
        <v>64</v>
      </c>
      <c r="D5" s="86">
        <v>8098.3580000000002</v>
      </c>
      <c r="E5" s="85">
        <v>7899.4970000000003</v>
      </c>
      <c r="F5" s="85">
        <v>5378.5119999999997</v>
      </c>
      <c r="G5" s="73">
        <v>10775.148999999999</v>
      </c>
      <c r="H5" s="73">
        <v>5026.6000000000004</v>
      </c>
      <c r="I5" s="73">
        <v>0</v>
      </c>
      <c r="J5" s="73">
        <v>0</v>
      </c>
      <c r="K5" s="73">
        <v>0</v>
      </c>
      <c r="L5" s="215">
        <f>SUM(D5:K5)</f>
        <v>37178.115999999995</v>
      </c>
      <c r="M5" s="9"/>
      <c r="P5" s="14"/>
      <c r="U5" s="76" t="s">
        <v>63</v>
      </c>
      <c r="V5" s="148" t="s">
        <v>64</v>
      </c>
      <c r="W5" s="143">
        <v>1</v>
      </c>
      <c r="X5" s="125">
        <v>0</v>
      </c>
      <c r="Y5" s="125">
        <v>0.3</v>
      </c>
      <c r="Z5" s="125">
        <v>0</v>
      </c>
      <c r="AA5" s="125">
        <v>1</v>
      </c>
      <c r="AB5" s="144">
        <v>0.5</v>
      </c>
      <c r="AC5" s="144">
        <v>0.5</v>
      </c>
      <c r="AD5" s="145">
        <v>0.5</v>
      </c>
    </row>
    <row r="6" spans="1:30" ht="15" x14ac:dyDescent="0.25">
      <c r="B6" s="76" t="s">
        <v>65</v>
      </c>
      <c r="C6" s="214" t="s">
        <v>66</v>
      </c>
      <c r="D6" s="87">
        <v>6462.6710000000003</v>
      </c>
      <c r="E6" s="83">
        <v>13291.728999999999</v>
      </c>
      <c r="F6" s="83">
        <v>39959.980000000003</v>
      </c>
      <c r="G6" s="73">
        <v>0</v>
      </c>
      <c r="H6" s="73">
        <v>113.01900000000001</v>
      </c>
      <c r="I6" s="73">
        <v>7.0000000000000001E-3</v>
      </c>
      <c r="J6" s="73">
        <v>0.153</v>
      </c>
      <c r="K6" s="73">
        <v>1167.52</v>
      </c>
      <c r="L6" s="215">
        <f>SUM(D6:K6)</f>
        <v>60995.078999999998</v>
      </c>
      <c r="M6" s="9"/>
      <c r="U6" s="76" t="s">
        <v>65</v>
      </c>
      <c r="V6" s="149" t="s">
        <v>66</v>
      </c>
      <c r="W6" s="137">
        <v>1</v>
      </c>
      <c r="X6" s="116">
        <v>0</v>
      </c>
      <c r="Y6" s="116">
        <v>0.3</v>
      </c>
      <c r="Z6" s="116">
        <v>0</v>
      </c>
      <c r="AA6" s="116">
        <v>1</v>
      </c>
      <c r="AB6" s="146">
        <v>0.5</v>
      </c>
      <c r="AC6" s="146">
        <v>0.5</v>
      </c>
      <c r="AD6" s="147">
        <v>0.5</v>
      </c>
    </row>
    <row r="7" spans="1:30" ht="15" x14ac:dyDescent="0.25">
      <c r="B7" s="76" t="s">
        <v>67</v>
      </c>
      <c r="C7" s="214" t="s">
        <v>68</v>
      </c>
      <c r="D7" s="87">
        <v>-1147.069</v>
      </c>
      <c r="E7" s="83">
        <v>-2516.3310000000001</v>
      </c>
      <c r="F7" s="83">
        <v>-14830.662</v>
      </c>
      <c r="G7" s="73">
        <v>0</v>
      </c>
      <c r="H7" s="73">
        <v>-72.403999999999996</v>
      </c>
      <c r="I7" s="73">
        <v>0</v>
      </c>
      <c r="J7" s="73">
        <v>-0.129</v>
      </c>
      <c r="K7" s="73">
        <v>-1126.8040000000001</v>
      </c>
      <c r="L7" s="215">
        <f>SUM(D7:K7)</f>
        <v>-19693.399000000001</v>
      </c>
      <c r="M7" s="9"/>
      <c r="P7" s="14"/>
      <c r="U7" s="76" t="s">
        <v>67</v>
      </c>
      <c r="V7" s="150" t="s">
        <v>68</v>
      </c>
      <c r="W7" s="137">
        <v>1</v>
      </c>
      <c r="X7" s="116">
        <v>0</v>
      </c>
      <c r="Y7" s="116">
        <v>0.3</v>
      </c>
      <c r="Z7" s="116">
        <v>0</v>
      </c>
      <c r="AA7" s="116">
        <v>1</v>
      </c>
      <c r="AB7" s="146">
        <v>0.5</v>
      </c>
      <c r="AC7" s="146">
        <v>0.5</v>
      </c>
      <c r="AD7" s="147">
        <v>0.5</v>
      </c>
    </row>
    <row r="8" spans="1:30" ht="15" x14ac:dyDescent="0.25">
      <c r="B8" s="204" t="s">
        <v>212</v>
      </c>
      <c r="C8" s="91" t="s">
        <v>213</v>
      </c>
      <c r="D8" s="92">
        <f t="shared" ref="D8:L8" si="0">SUM(D5:D7)</f>
        <v>13413.960000000001</v>
      </c>
      <c r="E8" s="93">
        <f t="shared" si="0"/>
        <v>18674.894999999997</v>
      </c>
      <c r="F8" s="93">
        <f t="shared" si="0"/>
        <v>30507.830000000005</v>
      </c>
      <c r="G8" s="93">
        <f t="shared" si="0"/>
        <v>10775.148999999999</v>
      </c>
      <c r="H8" s="93">
        <f t="shared" si="0"/>
        <v>5067.2150000000001</v>
      </c>
      <c r="I8" s="93">
        <f t="shared" si="0"/>
        <v>7.0000000000000001E-3</v>
      </c>
      <c r="J8" s="93">
        <f t="shared" si="0"/>
        <v>2.3999999999999994E-2</v>
      </c>
      <c r="K8" s="93">
        <f t="shared" si="0"/>
        <v>40.715999999999894</v>
      </c>
      <c r="L8" s="94">
        <f t="shared" si="0"/>
        <v>78479.795999999988</v>
      </c>
      <c r="M8" s="9"/>
      <c r="U8" s="71"/>
      <c r="V8" s="117"/>
      <c r="W8" s="117"/>
      <c r="X8" s="118"/>
      <c r="Y8" s="118"/>
      <c r="Z8" s="118"/>
      <c r="AA8" s="118"/>
      <c r="AB8" s="118"/>
      <c r="AC8" s="118"/>
      <c r="AD8" s="119"/>
    </row>
    <row r="9" spans="1:30" x14ac:dyDescent="0.2">
      <c r="B9" s="71"/>
      <c r="C9" s="216" t="s">
        <v>69</v>
      </c>
      <c r="D9" s="12"/>
      <c r="E9" s="12"/>
      <c r="F9" s="12"/>
      <c r="G9" s="12"/>
      <c r="H9" s="12"/>
      <c r="I9" s="12"/>
      <c r="J9" s="12"/>
      <c r="K9" s="12"/>
      <c r="L9" s="217"/>
      <c r="M9" s="9"/>
      <c r="U9" s="71"/>
      <c r="V9" s="13" t="s">
        <v>69</v>
      </c>
      <c r="W9" s="12"/>
      <c r="X9" s="12"/>
      <c r="Y9" s="12"/>
      <c r="Z9" s="12"/>
      <c r="AA9" s="12"/>
      <c r="AB9" s="12"/>
      <c r="AC9" s="12"/>
      <c r="AD9" s="12"/>
    </row>
    <row r="10" spans="1:30" x14ac:dyDescent="0.2">
      <c r="B10" s="76" t="s">
        <v>70</v>
      </c>
      <c r="C10" s="96" t="s">
        <v>71</v>
      </c>
      <c r="D10" s="78">
        <v>-57.637999999999998</v>
      </c>
      <c r="E10" s="78">
        <v>-792.98</v>
      </c>
      <c r="F10" s="78">
        <v>-1848.605</v>
      </c>
      <c r="G10" s="78">
        <v>0</v>
      </c>
      <c r="H10" s="78">
        <v>-4.2830000000000004</v>
      </c>
      <c r="I10" s="78">
        <v>-1.52</v>
      </c>
      <c r="J10" s="79">
        <v>0</v>
      </c>
      <c r="K10" s="79">
        <v>0</v>
      </c>
      <c r="L10" s="218">
        <f>SUM(D10:K10)</f>
        <v>-2705.0259999999998</v>
      </c>
      <c r="M10" s="9"/>
      <c r="U10" s="76" t="s">
        <v>70</v>
      </c>
      <c r="V10" s="96" t="s">
        <v>71</v>
      </c>
      <c r="W10" s="134">
        <v>1</v>
      </c>
      <c r="X10" s="135">
        <v>0</v>
      </c>
      <c r="Y10" s="135">
        <v>0.3</v>
      </c>
      <c r="Z10" s="135">
        <v>0</v>
      </c>
      <c r="AA10" s="135">
        <v>1</v>
      </c>
      <c r="AB10" s="135">
        <v>0.5</v>
      </c>
      <c r="AC10" s="135">
        <v>0.5</v>
      </c>
      <c r="AD10" s="136"/>
    </row>
    <row r="11" spans="1:30" ht="15" x14ac:dyDescent="0.25">
      <c r="B11" s="76" t="s">
        <v>54</v>
      </c>
      <c r="C11" s="97" t="s">
        <v>72</v>
      </c>
      <c r="D11" s="83">
        <v>-9598.1200000000008</v>
      </c>
      <c r="E11" s="83">
        <v>-5635.5439999999999</v>
      </c>
      <c r="F11" s="83">
        <v>-1224.6089999999999</v>
      </c>
      <c r="G11" s="83">
        <v>-10775.148999999999</v>
      </c>
      <c r="H11" s="83">
        <v>-1255.692</v>
      </c>
      <c r="I11" s="78">
        <v>-32.948999999999998</v>
      </c>
      <c r="J11" s="78">
        <v>1737.559</v>
      </c>
      <c r="K11" s="225">
        <v>11581.04</v>
      </c>
      <c r="L11" s="218">
        <f>SUM(D11:K11)</f>
        <v>-15203.463999999996</v>
      </c>
      <c r="M11" s="9"/>
      <c r="U11" s="76" t="s">
        <v>54</v>
      </c>
      <c r="V11" s="97" t="s">
        <v>72</v>
      </c>
      <c r="W11" s="137">
        <v>1</v>
      </c>
      <c r="X11" s="116">
        <v>0</v>
      </c>
      <c r="Y11" s="116">
        <v>0.3</v>
      </c>
      <c r="Z11" s="116">
        <v>0</v>
      </c>
      <c r="AA11" s="116">
        <v>1</v>
      </c>
      <c r="AB11" s="133">
        <v>0.5</v>
      </c>
      <c r="AC11" s="133">
        <v>0.5</v>
      </c>
      <c r="AD11" s="138">
        <v>0.5</v>
      </c>
    </row>
    <row r="12" spans="1:30" x14ac:dyDescent="0.2">
      <c r="B12" s="76" t="s">
        <v>73</v>
      </c>
      <c r="C12" s="97" t="s">
        <v>74</v>
      </c>
      <c r="D12" s="78">
        <v>-161.39599999999999</v>
      </c>
      <c r="E12" s="78">
        <v>-301.30099999999999</v>
      </c>
      <c r="F12" s="78">
        <v>-49.649000000000001</v>
      </c>
      <c r="G12" s="78">
        <v>0</v>
      </c>
      <c r="H12" s="78">
        <v>-140.20699999999999</v>
      </c>
      <c r="I12" s="78">
        <v>-1.569</v>
      </c>
      <c r="J12" s="78">
        <v>658.74300000000005</v>
      </c>
      <c r="K12" s="78">
        <v>0</v>
      </c>
      <c r="L12" s="218">
        <f>SUM(D12:K12)</f>
        <v>4.6210000000000946</v>
      </c>
      <c r="M12" s="9"/>
      <c r="U12" s="76" t="s">
        <v>73</v>
      </c>
      <c r="V12" s="97" t="s">
        <v>74</v>
      </c>
      <c r="W12" s="139">
        <v>1</v>
      </c>
      <c r="X12" s="133">
        <v>0</v>
      </c>
      <c r="Y12" s="133">
        <v>0.3</v>
      </c>
      <c r="Z12" s="133">
        <v>0</v>
      </c>
      <c r="AA12" s="133">
        <v>1</v>
      </c>
      <c r="AB12" s="133">
        <v>0.5</v>
      </c>
      <c r="AC12" s="133">
        <v>0.5</v>
      </c>
      <c r="AD12" s="138"/>
    </row>
    <row r="13" spans="1:30" x14ac:dyDescent="0.2">
      <c r="B13" s="76" t="s">
        <v>75</v>
      </c>
      <c r="C13" s="97" t="s">
        <v>76</v>
      </c>
      <c r="D13" s="184"/>
      <c r="E13" s="79"/>
      <c r="F13" s="78">
        <v>-31736.460999999999</v>
      </c>
      <c r="G13" s="79"/>
      <c r="H13" s="79"/>
      <c r="I13" s="79"/>
      <c r="J13" s="79"/>
      <c r="K13" s="79"/>
      <c r="L13" s="218">
        <f>SUM(D13:K13)</f>
        <v>-31736.460999999999</v>
      </c>
      <c r="M13" s="9"/>
      <c r="U13" s="76" t="s">
        <v>75</v>
      </c>
      <c r="V13" s="97" t="s">
        <v>76</v>
      </c>
      <c r="W13" s="140">
        <v>1</v>
      </c>
      <c r="X13" s="141">
        <v>0</v>
      </c>
      <c r="Y13" s="141">
        <v>0.3</v>
      </c>
      <c r="Z13" s="141">
        <v>0</v>
      </c>
      <c r="AA13" s="141">
        <v>1</v>
      </c>
      <c r="AB13" s="141">
        <v>0.5</v>
      </c>
      <c r="AC13" s="141">
        <v>0.5</v>
      </c>
      <c r="AD13" s="142"/>
    </row>
    <row r="14" spans="1:30" ht="15" x14ac:dyDescent="0.25">
      <c r="B14" s="71"/>
      <c r="C14" s="91" t="s">
        <v>77</v>
      </c>
      <c r="D14" s="95">
        <f t="shared" ref="D14:L14" si="1">SUM(D10:D13)</f>
        <v>-9817.1540000000023</v>
      </c>
      <c r="E14" s="93">
        <f t="shared" si="1"/>
        <v>-6729.8249999999998</v>
      </c>
      <c r="F14" s="93">
        <f t="shared" si="1"/>
        <v>-34859.324000000001</v>
      </c>
      <c r="G14" s="93">
        <f t="shared" si="1"/>
        <v>-10775.148999999999</v>
      </c>
      <c r="H14" s="93">
        <f t="shared" si="1"/>
        <v>-1400.1819999999998</v>
      </c>
      <c r="I14" s="93">
        <f t="shared" si="1"/>
        <v>-36.038000000000004</v>
      </c>
      <c r="J14" s="93">
        <f t="shared" si="1"/>
        <v>2396.3020000000001</v>
      </c>
      <c r="K14" s="93">
        <f t="shared" si="1"/>
        <v>11581.04</v>
      </c>
      <c r="L14" s="94">
        <f t="shared" si="1"/>
        <v>-49640.33</v>
      </c>
      <c r="M14" s="9"/>
      <c r="U14" s="71"/>
      <c r="V14" s="117"/>
      <c r="W14" s="117"/>
      <c r="X14" s="118"/>
      <c r="Y14" s="118"/>
      <c r="Z14" s="120">
        <v>0</v>
      </c>
      <c r="AA14" s="118"/>
      <c r="AB14" s="118"/>
      <c r="AC14" s="118"/>
      <c r="AD14" s="119"/>
    </row>
    <row r="15" spans="1:30" x14ac:dyDescent="0.2">
      <c r="B15" s="71"/>
      <c r="C15" s="216" t="s">
        <v>78</v>
      </c>
      <c r="D15" s="12"/>
      <c r="E15" s="12"/>
      <c r="F15" s="12"/>
      <c r="G15" s="12"/>
      <c r="H15" s="12"/>
      <c r="I15" s="12"/>
      <c r="J15" s="12"/>
      <c r="K15" s="12"/>
      <c r="L15" s="217"/>
      <c r="M15" s="9"/>
      <c r="U15" s="71"/>
      <c r="V15" s="13" t="s">
        <v>78</v>
      </c>
      <c r="W15" s="10"/>
      <c r="X15" s="10"/>
      <c r="Y15" s="10"/>
      <c r="Z15" s="61">
        <v>0</v>
      </c>
      <c r="AA15" s="10"/>
      <c r="AB15" s="10"/>
      <c r="AC15" s="10"/>
      <c r="AD15" s="10"/>
    </row>
    <row r="16" spans="1:30" ht="15" x14ac:dyDescent="0.25">
      <c r="A16" s="9"/>
      <c r="B16" s="76" t="s">
        <v>79</v>
      </c>
      <c r="C16" s="98" t="s">
        <v>80</v>
      </c>
      <c r="D16" s="219">
        <v>356.55500000000001</v>
      </c>
      <c r="E16" s="83">
        <v>5159.7929999999997</v>
      </c>
      <c r="F16" s="219">
        <v>2289.2930000000001</v>
      </c>
      <c r="G16" s="220">
        <v>0</v>
      </c>
      <c r="H16" s="219">
        <v>1293.9269999999999</v>
      </c>
      <c r="I16" s="219">
        <v>0</v>
      </c>
      <c r="J16" s="219">
        <v>865.48500000000001</v>
      </c>
      <c r="K16" s="219">
        <v>2871.7420000000002</v>
      </c>
      <c r="L16" s="221">
        <f t="shared" ref="L16:L23" si="2">SUM(D16:K16)</f>
        <v>12836.795</v>
      </c>
      <c r="M16" s="9"/>
      <c r="U16" s="76" t="s">
        <v>79</v>
      </c>
      <c r="V16" s="101" t="s">
        <v>80</v>
      </c>
      <c r="W16" s="124">
        <v>1</v>
      </c>
      <c r="X16" s="125">
        <v>0</v>
      </c>
      <c r="Y16" s="126">
        <v>0.3</v>
      </c>
      <c r="Z16" s="126">
        <v>0</v>
      </c>
      <c r="AA16" s="126">
        <v>1</v>
      </c>
      <c r="AB16" s="126">
        <v>0.5</v>
      </c>
      <c r="AC16" s="126">
        <v>0.5</v>
      </c>
      <c r="AD16" s="127">
        <v>0.5</v>
      </c>
    </row>
    <row r="17" spans="1:30" x14ac:dyDescent="0.2">
      <c r="A17" s="9"/>
      <c r="B17" s="76" t="s">
        <v>81</v>
      </c>
      <c r="C17" s="99" t="s">
        <v>82</v>
      </c>
      <c r="D17" s="219">
        <v>56.924999999999997</v>
      </c>
      <c r="E17" s="219">
        <v>1751.73</v>
      </c>
      <c r="F17" s="219">
        <v>854.81</v>
      </c>
      <c r="G17" s="220">
        <v>0</v>
      </c>
      <c r="H17" s="219">
        <v>67.406000000000006</v>
      </c>
      <c r="I17" s="219">
        <v>1.2170000000000001</v>
      </c>
      <c r="J17" s="219">
        <v>254.64599999999999</v>
      </c>
      <c r="K17" s="219">
        <v>2527.3910000000001</v>
      </c>
      <c r="L17" s="221">
        <f t="shared" si="2"/>
        <v>5514.125</v>
      </c>
      <c r="M17" s="9"/>
      <c r="U17" s="76" t="s">
        <v>81</v>
      </c>
      <c r="V17" s="102" t="s">
        <v>82</v>
      </c>
      <c r="W17" s="128">
        <v>1</v>
      </c>
      <c r="X17" s="129">
        <v>0</v>
      </c>
      <c r="Y17" s="129">
        <v>0.3</v>
      </c>
      <c r="Z17" s="129">
        <v>0</v>
      </c>
      <c r="AA17" s="129">
        <v>1</v>
      </c>
      <c r="AB17" s="129">
        <v>0.5</v>
      </c>
      <c r="AC17" s="129">
        <v>0.5</v>
      </c>
      <c r="AD17" s="130">
        <v>0.5</v>
      </c>
    </row>
    <row r="18" spans="1:30" x14ac:dyDescent="0.2">
      <c r="A18" s="9"/>
      <c r="B18" s="76" t="s">
        <v>83</v>
      </c>
      <c r="C18" s="99" t="s">
        <v>84</v>
      </c>
      <c r="D18" s="219">
        <v>1896.9860000000001</v>
      </c>
      <c r="E18" s="219">
        <v>4437.1610000000001</v>
      </c>
      <c r="F18" s="219">
        <v>2016.1110000000001</v>
      </c>
      <c r="G18" s="220">
        <v>0</v>
      </c>
      <c r="H18" s="219">
        <v>721.67100000000005</v>
      </c>
      <c r="I18" s="219">
        <v>117.19199999999999</v>
      </c>
      <c r="J18" s="219">
        <v>633.58299999999997</v>
      </c>
      <c r="K18" s="219">
        <v>4088.444</v>
      </c>
      <c r="L18" s="221">
        <f t="shared" si="2"/>
        <v>13911.147999999999</v>
      </c>
      <c r="M18" s="9"/>
      <c r="U18" s="76" t="s">
        <v>83</v>
      </c>
      <c r="V18" s="102" t="s">
        <v>84</v>
      </c>
      <c r="W18" s="128">
        <v>1</v>
      </c>
      <c r="X18" s="129">
        <v>0</v>
      </c>
      <c r="Y18" s="129">
        <v>0.3</v>
      </c>
      <c r="Z18" s="129">
        <v>0</v>
      </c>
      <c r="AA18" s="129">
        <v>1</v>
      </c>
      <c r="AB18" s="129">
        <v>0.5</v>
      </c>
      <c r="AC18" s="129">
        <v>0.5</v>
      </c>
      <c r="AD18" s="130">
        <v>0.5</v>
      </c>
    </row>
    <row r="19" spans="1:30" x14ac:dyDescent="0.2">
      <c r="A19" s="9"/>
      <c r="B19" s="76" t="s">
        <v>85</v>
      </c>
      <c r="C19" s="99" t="s">
        <v>86</v>
      </c>
      <c r="D19" s="219">
        <v>44.1</v>
      </c>
      <c r="E19" s="219">
        <v>201.20599999999999</v>
      </c>
      <c r="F19" s="219">
        <v>797.37199999999996</v>
      </c>
      <c r="G19" s="220">
        <v>0</v>
      </c>
      <c r="H19" s="219">
        <v>63.085999999999999</v>
      </c>
      <c r="I19" s="219">
        <v>1E-3</v>
      </c>
      <c r="J19" s="219">
        <v>15.574</v>
      </c>
      <c r="K19" s="219">
        <v>19.386000000000003</v>
      </c>
      <c r="L19" s="221">
        <f t="shared" si="2"/>
        <v>1140.7249999999999</v>
      </c>
      <c r="M19" s="9"/>
      <c r="U19" s="76" t="s">
        <v>85</v>
      </c>
      <c r="V19" s="102" t="s">
        <v>86</v>
      </c>
      <c r="W19" s="128">
        <v>1</v>
      </c>
      <c r="X19" s="129">
        <v>0</v>
      </c>
      <c r="Y19" s="129">
        <v>0.3</v>
      </c>
      <c r="Z19" s="129">
        <v>0</v>
      </c>
      <c r="AA19" s="129">
        <v>1</v>
      </c>
      <c r="AB19" s="129">
        <v>0.5</v>
      </c>
      <c r="AC19" s="129">
        <v>0.5</v>
      </c>
      <c r="AD19" s="130">
        <v>0.5</v>
      </c>
    </row>
    <row r="20" spans="1:30" ht="15" x14ac:dyDescent="0.25">
      <c r="A20" s="9"/>
      <c r="B20" s="76" t="s">
        <v>87</v>
      </c>
      <c r="C20" s="99" t="s">
        <v>88</v>
      </c>
      <c r="D20" s="219">
        <v>0.55600000000000005</v>
      </c>
      <c r="E20" s="219">
        <v>21.248999999999999</v>
      </c>
      <c r="F20" s="83">
        <v>14851.249</v>
      </c>
      <c r="G20" s="220">
        <v>0</v>
      </c>
      <c r="H20" s="219">
        <v>130.685</v>
      </c>
      <c r="I20" s="219">
        <v>0</v>
      </c>
      <c r="J20" s="219">
        <v>0</v>
      </c>
      <c r="K20" s="219">
        <v>265.97199999999998</v>
      </c>
      <c r="L20" s="221">
        <f t="shared" si="2"/>
        <v>15269.710999999999</v>
      </c>
      <c r="M20" s="9"/>
      <c r="U20" s="76" t="s">
        <v>87</v>
      </c>
      <c r="V20" s="102" t="s">
        <v>88</v>
      </c>
      <c r="W20" s="128">
        <v>1</v>
      </c>
      <c r="X20" s="129">
        <v>0</v>
      </c>
      <c r="Y20" s="116">
        <v>0.3</v>
      </c>
      <c r="Z20" s="129">
        <v>0</v>
      </c>
      <c r="AA20" s="129">
        <v>1</v>
      </c>
      <c r="AB20" s="129">
        <v>0.5</v>
      </c>
      <c r="AC20" s="129">
        <v>0.5</v>
      </c>
      <c r="AD20" s="130">
        <v>0.5</v>
      </c>
    </row>
    <row r="21" spans="1:30" x14ac:dyDescent="0.2">
      <c r="A21" s="9"/>
      <c r="B21" s="76" t="s">
        <v>89</v>
      </c>
      <c r="C21" s="100" t="s">
        <v>90</v>
      </c>
      <c r="D21" s="82">
        <f>IF((SUM(D16:D20,D22:D23)-SUM(D10:D12))&gt;D8,0,(D8-SUM(D16:D20,D22:D23)+SUM(D10:D12)))</f>
        <v>1189.2309999999979</v>
      </c>
      <c r="E21" s="82">
        <f>IF((SUM(E16:E20,E22:E23)-SUM(E10:E12))&gt;E8,0,(E8-SUM(E16:E20,E22:E23)+SUM(E10:E12)))</f>
        <v>0</v>
      </c>
      <c r="F21" s="82">
        <v>392.53200000000402</v>
      </c>
      <c r="G21" s="82">
        <f>IF((SUM(G16:G20,G22:G23)-SUM(G10:G12))&gt;G8,0,(G8-SUM(G16:G20,G22:G23)+SUM(G10:G12)))</f>
        <v>0</v>
      </c>
      <c r="H21" s="82">
        <f>IF((SUM(H16:H20,H22:H23)-SUM(H10:H12))&gt;H8,0,(H8-SUM(H16:H20,H22:H23)+SUM(H10:H12)))</f>
        <v>1390.2580000000007</v>
      </c>
      <c r="I21" s="82">
        <f>IF((SUM(I16:I20,I22:I23)-SUM(I10:I12))&gt;I8,0,(I8-SUM(I16:I20,I22:I23)+SUM(I10:I12)))</f>
        <v>0</v>
      </c>
      <c r="J21" s="82">
        <f>IF((SUM(J16:J20,J22:J23)-SUM(J10:J12))&gt;J8,0,(J8-SUM(J16:J20,J22:J23)+SUM(J10:J12)))</f>
        <v>627.03800000000001</v>
      </c>
      <c r="K21" s="82">
        <v>650</v>
      </c>
      <c r="L21" s="222">
        <f t="shared" si="2"/>
        <v>4249.0590000000029</v>
      </c>
      <c r="M21" s="9"/>
      <c r="U21" s="76" t="s">
        <v>89</v>
      </c>
      <c r="V21" s="106" t="s">
        <v>90</v>
      </c>
      <c r="W21" s="122">
        <v>1</v>
      </c>
      <c r="X21" s="123">
        <v>0</v>
      </c>
      <c r="Y21" s="123">
        <v>0.3</v>
      </c>
      <c r="Z21" s="123">
        <v>0</v>
      </c>
      <c r="AA21" s="123">
        <v>1</v>
      </c>
      <c r="AB21" s="123">
        <v>0.5</v>
      </c>
      <c r="AC21" s="123">
        <v>0.5</v>
      </c>
      <c r="AD21" s="131">
        <v>0.5</v>
      </c>
    </row>
    <row r="22" spans="1:30" x14ac:dyDescent="0.2">
      <c r="A22" s="9"/>
      <c r="B22" s="76" t="s">
        <v>110</v>
      </c>
      <c r="C22" s="99" t="s">
        <v>91</v>
      </c>
      <c r="D22" s="219">
        <v>52.453000000000003</v>
      </c>
      <c r="E22" s="219">
        <v>633.82299999999998</v>
      </c>
      <c r="F22" s="219">
        <v>4072.5079999999998</v>
      </c>
      <c r="G22" s="220"/>
      <c r="H22" s="219">
        <v>0</v>
      </c>
      <c r="I22" s="219">
        <v>0</v>
      </c>
      <c r="J22" s="219">
        <v>0</v>
      </c>
      <c r="K22" s="219">
        <v>0</v>
      </c>
      <c r="L22" s="221">
        <f t="shared" si="2"/>
        <v>4758.7839999999997</v>
      </c>
      <c r="M22" s="9"/>
      <c r="U22" s="76" t="s">
        <v>110</v>
      </c>
      <c r="V22" s="102" t="s">
        <v>91</v>
      </c>
      <c r="W22" s="128">
        <v>1</v>
      </c>
      <c r="X22" s="129">
        <v>0</v>
      </c>
      <c r="Y22" s="129">
        <v>0.3</v>
      </c>
      <c r="Z22" s="129">
        <v>0</v>
      </c>
      <c r="AA22" s="129">
        <v>1</v>
      </c>
      <c r="AB22" s="129">
        <v>0.5</v>
      </c>
      <c r="AC22" s="129">
        <v>0.5</v>
      </c>
      <c r="AD22" s="130">
        <v>0.5</v>
      </c>
    </row>
    <row r="23" spans="1:30" x14ac:dyDescent="0.2">
      <c r="A23" s="9"/>
      <c r="B23" s="76" t="s">
        <v>111</v>
      </c>
      <c r="C23" s="99" t="s">
        <v>92</v>
      </c>
      <c r="D23" s="219">
        <v>0</v>
      </c>
      <c r="E23" s="219">
        <v>0</v>
      </c>
      <c r="F23" s="219">
        <v>2111.0920000000001</v>
      </c>
      <c r="G23" s="220"/>
      <c r="H23" s="219">
        <v>0</v>
      </c>
      <c r="I23" s="219">
        <v>0</v>
      </c>
      <c r="J23" s="219">
        <v>0</v>
      </c>
      <c r="K23" s="219">
        <v>0</v>
      </c>
      <c r="L23" s="221">
        <f t="shared" si="2"/>
        <v>2111.0920000000001</v>
      </c>
      <c r="M23" s="9"/>
      <c r="U23" s="76" t="s">
        <v>111</v>
      </c>
      <c r="V23" s="102" t="s">
        <v>92</v>
      </c>
      <c r="W23" s="128">
        <v>1</v>
      </c>
      <c r="X23" s="129">
        <v>0</v>
      </c>
      <c r="Y23" s="129">
        <v>0.3</v>
      </c>
      <c r="Z23" s="129">
        <v>0</v>
      </c>
      <c r="AA23" s="129">
        <v>1</v>
      </c>
      <c r="AB23" s="129">
        <v>0.5</v>
      </c>
      <c r="AC23" s="129">
        <v>0.5</v>
      </c>
      <c r="AD23" s="130">
        <v>0.5</v>
      </c>
    </row>
    <row r="24" spans="1:30" ht="15" x14ac:dyDescent="0.25">
      <c r="A24" s="9"/>
      <c r="B24" s="204" t="s">
        <v>113</v>
      </c>
      <c r="C24" s="91" t="s">
        <v>214</v>
      </c>
      <c r="D24" s="89">
        <f t="shared" ref="D24:L24" si="3">SUM(D16:D23)</f>
        <v>3596.8059999999982</v>
      </c>
      <c r="E24" s="88">
        <f t="shared" si="3"/>
        <v>12204.962</v>
      </c>
      <c r="F24" s="88">
        <f t="shared" si="3"/>
        <v>27384.967000000001</v>
      </c>
      <c r="G24" s="88">
        <f t="shared" si="3"/>
        <v>0</v>
      </c>
      <c r="H24" s="88">
        <f t="shared" si="3"/>
        <v>3667.0330000000004</v>
      </c>
      <c r="I24" s="88">
        <f t="shared" si="3"/>
        <v>118.41</v>
      </c>
      <c r="J24" s="88">
        <f t="shared" si="3"/>
        <v>2396.326</v>
      </c>
      <c r="K24" s="89">
        <f t="shared" si="3"/>
        <v>10422.934999999999</v>
      </c>
      <c r="L24" s="90">
        <f t="shared" si="3"/>
        <v>59791.438999999998</v>
      </c>
      <c r="M24" s="9"/>
      <c r="U24" s="76" t="s">
        <v>113</v>
      </c>
      <c r="V24" s="117"/>
      <c r="W24" s="132">
        <v>1</v>
      </c>
      <c r="X24" s="118"/>
      <c r="Y24" s="118"/>
      <c r="Z24" s="118"/>
      <c r="AA24" s="118"/>
      <c r="AB24" s="118"/>
      <c r="AC24" s="118"/>
      <c r="AD24" s="121">
        <v>0.5</v>
      </c>
    </row>
    <row r="25" spans="1:30" x14ac:dyDescent="0.2">
      <c r="A25" s="9"/>
      <c r="D25" s="14"/>
      <c r="F25" s="14"/>
      <c r="G25" s="14"/>
      <c r="H25" s="14"/>
      <c r="I25" s="14"/>
      <c r="J25" s="14"/>
      <c r="K25" s="14"/>
      <c r="L25" s="14"/>
      <c r="M25" s="9"/>
    </row>
    <row r="26" spans="1:30" x14ac:dyDescent="0.2">
      <c r="A26" s="9"/>
      <c r="D26" s="14"/>
      <c r="F26" s="14"/>
      <c r="G26" s="14"/>
      <c r="H26" s="14"/>
      <c r="I26" s="14"/>
      <c r="J26" s="14"/>
      <c r="K26" s="14"/>
      <c r="L26" s="14"/>
      <c r="M26" s="14"/>
    </row>
    <row r="27" spans="1:30" ht="15" x14ac:dyDescent="0.25">
      <c r="A27" s="9"/>
      <c r="C27" s="83" t="s">
        <v>198</v>
      </c>
      <c r="D27" s="83"/>
      <c r="E27" s="83"/>
      <c r="F27" s="14"/>
      <c r="G27" s="14"/>
      <c r="H27" s="14"/>
      <c r="I27" s="14"/>
      <c r="J27" s="14"/>
      <c r="K27" s="14"/>
      <c r="L27" s="14"/>
      <c r="M27" s="14"/>
    </row>
    <row r="28" spans="1:30" x14ac:dyDescent="0.2">
      <c r="A28" s="9"/>
      <c r="D28" s="14"/>
      <c r="F28" s="14"/>
      <c r="G28" s="14"/>
      <c r="H28" s="14"/>
      <c r="I28" s="14"/>
      <c r="J28" s="14"/>
      <c r="K28" s="14"/>
      <c r="L28" s="14"/>
      <c r="M28" s="14"/>
      <c r="V28" s="1" t="s">
        <v>207</v>
      </c>
    </row>
    <row r="29" spans="1:30" x14ac:dyDescent="0.2">
      <c r="A29" s="9"/>
      <c r="D29" s="14"/>
      <c r="F29" s="14"/>
      <c r="G29" s="14"/>
      <c r="H29" s="14"/>
      <c r="I29" s="14"/>
      <c r="J29" s="14"/>
      <c r="K29" s="14"/>
      <c r="L29" s="14"/>
      <c r="M29" s="14"/>
    </row>
    <row r="30" spans="1:30" x14ac:dyDescent="0.2">
      <c r="A30" s="9"/>
      <c r="D30" s="14"/>
      <c r="F30" s="14"/>
      <c r="G30" s="14"/>
      <c r="H30" s="14"/>
      <c r="I30" s="14"/>
      <c r="J30" s="14"/>
      <c r="K30" s="14"/>
      <c r="L30" s="14"/>
      <c r="M30" s="14"/>
    </row>
    <row r="31" spans="1:30" x14ac:dyDescent="0.2">
      <c r="A31" s="9"/>
      <c r="D31" s="14"/>
      <c r="F31" s="14"/>
      <c r="G31" s="14"/>
      <c r="H31" s="14"/>
      <c r="I31" s="14"/>
      <c r="J31" s="14"/>
      <c r="K31" s="14"/>
      <c r="L31" s="14"/>
      <c r="M31" s="14"/>
    </row>
    <row r="32" spans="1:30" x14ac:dyDescent="0.2">
      <c r="A32" s="9"/>
      <c r="D32" s="14"/>
      <c r="F32" s="14"/>
      <c r="G32" s="14"/>
      <c r="H32" s="14"/>
      <c r="I32" s="14"/>
      <c r="J32" s="14"/>
      <c r="K32" s="14"/>
      <c r="L32" s="14"/>
      <c r="M32" s="14"/>
    </row>
    <row r="33" spans="1:14" x14ac:dyDescent="0.2">
      <c r="A33" s="9"/>
      <c r="D33" s="14"/>
      <c r="F33" s="14"/>
      <c r="G33" s="14"/>
      <c r="H33" s="14"/>
      <c r="I33" s="14"/>
      <c r="J33" s="14"/>
      <c r="K33" s="14"/>
      <c r="L33" s="14"/>
      <c r="M33" s="14"/>
    </row>
    <row r="34" spans="1:14" x14ac:dyDescent="0.2">
      <c r="A34" s="9"/>
      <c r="D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2">
      <c r="A35" s="9"/>
      <c r="D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2">
      <c r="A36" s="9"/>
      <c r="D36" s="36" t="s">
        <v>47</v>
      </c>
      <c r="E36" s="36" t="s">
        <v>48</v>
      </c>
      <c r="F36" s="36" t="s">
        <v>49</v>
      </c>
      <c r="G36" s="41"/>
      <c r="H36" s="41"/>
      <c r="I36" s="41"/>
      <c r="J36" s="41"/>
      <c r="K36" s="41"/>
      <c r="L36" s="41"/>
      <c r="M36" s="41"/>
    </row>
    <row r="37" spans="1:14" x14ac:dyDescent="0.2">
      <c r="A37" s="9"/>
      <c r="C37" s="37" t="s">
        <v>155</v>
      </c>
      <c r="D37" s="38">
        <v>0.75</v>
      </c>
      <c r="E37" s="38">
        <v>0.5</v>
      </c>
      <c r="F37" s="38">
        <v>0.8</v>
      </c>
      <c r="G37" s="42"/>
      <c r="H37" s="42"/>
      <c r="I37" s="42"/>
      <c r="J37" s="42"/>
      <c r="K37" s="42"/>
      <c r="L37" s="42"/>
      <c r="M37" s="42"/>
    </row>
    <row r="38" spans="1:14" x14ac:dyDescent="0.2">
      <c r="A38" s="9"/>
      <c r="C38" s="39" t="s">
        <v>156</v>
      </c>
      <c r="D38" s="40">
        <v>0.25</v>
      </c>
      <c r="E38" s="40">
        <v>0.5</v>
      </c>
      <c r="F38" s="40">
        <v>0.2</v>
      </c>
      <c r="G38" s="42"/>
      <c r="H38" s="42"/>
      <c r="I38" s="42"/>
      <c r="J38" s="42"/>
      <c r="K38" s="42"/>
      <c r="L38" s="42"/>
      <c r="M38" s="42"/>
    </row>
    <row r="39" spans="1:14" x14ac:dyDescent="0.2">
      <c r="A39" s="9"/>
      <c r="C39" s="41"/>
      <c r="D39" s="42"/>
    </row>
    <row r="40" spans="1:14" x14ac:dyDescent="0.2">
      <c r="A40" s="9"/>
      <c r="C40" s="41"/>
      <c r="D40" s="42"/>
    </row>
    <row r="41" spans="1:14" ht="25.5" x14ac:dyDescent="0.2">
      <c r="A41" s="9"/>
      <c r="B41" s="46" t="s">
        <v>131</v>
      </c>
      <c r="C41" s="109" t="s">
        <v>157</v>
      </c>
      <c r="D41" s="75" t="s">
        <v>55</v>
      </c>
      <c r="E41" s="75" t="s">
        <v>56</v>
      </c>
      <c r="F41" s="75" t="s">
        <v>192</v>
      </c>
      <c r="G41" s="75" t="s">
        <v>57</v>
      </c>
      <c r="H41" s="75" t="s">
        <v>58</v>
      </c>
      <c r="I41" s="75" t="s">
        <v>59</v>
      </c>
      <c r="J41" s="75" t="s">
        <v>60</v>
      </c>
      <c r="K41" s="75" t="s">
        <v>112</v>
      </c>
      <c r="L41" s="47"/>
    </row>
    <row r="42" spans="1:14" x14ac:dyDescent="0.2">
      <c r="A42" s="9"/>
      <c r="B42" s="76" t="s">
        <v>79</v>
      </c>
      <c r="C42" s="98" t="s">
        <v>132</v>
      </c>
      <c r="D42" s="101"/>
      <c r="E42" s="103"/>
      <c r="F42" s="103"/>
      <c r="G42" s="103"/>
      <c r="H42" s="103"/>
      <c r="I42" s="103"/>
      <c r="J42" s="103"/>
      <c r="K42" s="104"/>
      <c r="L42" s="11"/>
      <c r="N42" s="98" t="s">
        <v>135</v>
      </c>
    </row>
    <row r="43" spans="1:14" x14ac:dyDescent="0.2">
      <c r="A43" s="9"/>
      <c r="B43" s="76" t="s">
        <v>79</v>
      </c>
      <c r="C43" s="99" t="s">
        <v>133</v>
      </c>
      <c r="D43" s="102"/>
      <c r="E43" s="77"/>
      <c r="F43" s="77"/>
      <c r="G43" s="77"/>
      <c r="H43" s="77"/>
      <c r="I43" s="77"/>
      <c r="J43" s="77"/>
      <c r="K43" s="105"/>
      <c r="L43" s="11"/>
      <c r="N43" s="99" t="s">
        <v>136</v>
      </c>
    </row>
    <row r="44" spans="1:14" ht="15" x14ac:dyDescent="0.25">
      <c r="A44" s="9"/>
      <c r="B44" s="76" t="s">
        <v>79</v>
      </c>
      <c r="C44" s="99" t="s">
        <v>134</v>
      </c>
      <c r="D44" s="102"/>
      <c r="E44" s="83">
        <v>1</v>
      </c>
      <c r="F44" s="77"/>
      <c r="G44" s="77"/>
      <c r="H44" s="77"/>
      <c r="I44" s="77"/>
      <c r="J44" s="77"/>
      <c r="K44" s="105"/>
      <c r="L44" s="11"/>
      <c r="N44" s="99" t="s">
        <v>90</v>
      </c>
    </row>
    <row r="45" spans="1:14" x14ac:dyDescent="0.2">
      <c r="A45" s="9"/>
      <c r="B45" s="76"/>
      <c r="C45" s="99"/>
      <c r="D45" s="102"/>
      <c r="E45" s="77"/>
      <c r="F45" s="77"/>
      <c r="G45" s="77"/>
      <c r="H45" s="77"/>
      <c r="I45" s="77"/>
      <c r="J45" s="77"/>
      <c r="K45" s="105"/>
      <c r="L45" s="11"/>
      <c r="N45" s="99"/>
    </row>
    <row r="46" spans="1:14" x14ac:dyDescent="0.2">
      <c r="A46" s="9"/>
      <c r="B46" s="76" t="s">
        <v>81</v>
      </c>
      <c r="C46" s="99" t="s">
        <v>137</v>
      </c>
      <c r="D46" s="102"/>
      <c r="E46" s="77"/>
      <c r="F46" s="77"/>
      <c r="G46" s="77"/>
      <c r="H46" s="77"/>
      <c r="I46" s="77"/>
      <c r="J46" s="77"/>
      <c r="K46" s="105"/>
      <c r="L46" s="11"/>
      <c r="N46" s="99" t="s">
        <v>139</v>
      </c>
    </row>
    <row r="47" spans="1:14" x14ac:dyDescent="0.2">
      <c r="A47" s="9"/>
      <c r="B47" s="76" t="s">
        <v>81</v>
      </c>
      <c r="C47" s="99" t="s">
        <v>138</v>
      </c>
      <c r="D47" s="102"/>
      <c r="E47" s="77"/>
      <c r="F47" s="77"/>
      <c r="G47" s="77"/>
      <c r="H47" s="77"/>
      <c r="I47" s="77"/>
      <c r="J47" s="77"/>
      <c r="K47" s="105"/>
      <c r="L47" s="11"/>
      <c r="N47" s="99" t="s">
        <v>140</v>
      </c>
    </row>
    <row r="48" spans="1:14" x14ac:dyDescent="0.2">
      <c r="A48" s="9"/>
      <c r="B48" s="76"/>
      <c r="C48" s="99"/>
      <c r="D48" s="102"/>
      <c r="E48" s="77"/>
      <c r="F48" s="77"/>
      <c r="G48" s="77"/>
      <c r="H48" s="77"/>
      <c r="I48" s="77"/>
      <c r="J48" s="77"/>
      <c r="K48" s="105"/>
      <c r="L48" s="11"/>
      <c r="N48" s="99"/>
    </row>
    <row r="49" spans="1:14" ht="15" x14ac:dyDescent="0.25">
      <c r="A49" s="9"/>
      <c r="B49" s="76" t="s">
        <v>87</v>
      </c>
      <c r="C49" s="100" t="s">
        <v>137</v>
      </c>
      <c r="D49" s="106"/>
      <c r="E49" s="81"/>
      <c r="F49" s="84">
        <v>1</v>
      </c>
      <c r="G49" s="81"/>
      <c r="H49" s="81"/>
      <c r="I49" s="81"/>
      <c r="J49" s="81"/>
      <c r="K49" s="107"/>
      <c r="L49" s="11"/>
      <c r="N49" s="100" t="s">
        <v>139</v>
      </c>
    </row>
    <row r="50" spans="1:14" x14ac:dyDescent="0.2">
      <c r="A50" s="9"/>
    </row>
    <row r="51" spans="1:14" x14ac:dyDescent="0.2">
      <c r="A51" s="9"/>
    </row>
    <row r="52" spans="1:14" x14ac:dyDescent="0.2">
      <c r="A52" s="9"/>
      <c r="C52" s="113" t="s">
        <v>145</v>
      </c>
      <c r="D52" s="115" t="s">
        <v>146</v>
      </c>
      <c r="E52" s="114" t="s">
        <v>147</v>
      </c>
    </row>
    <row r="53" spans="1:14" x14ac:dyDescent="0.2">
      <c r="A53" s="9"/>
      <c r="B53" s="35" t="s">
        <v>158</v>
      </c>
      <c r="C53" s="108" t="s">
        <v>148</v>
      </c>
      <c r="D53" s="108" t="s">
        <v>149</v>
      </c>
      <c r="E53" s="111" t="s">
        <v>147</v>
      </c>
    </row>
    <row r="54" spans="1:14" x14ac:dyDescent="0.2">
      <c r="A54" s="9"/>
      <c r="B54" s="76" t="s">
        <v>79</v>
      </c>
      <c r="C54" s="110">
        <v>1</v>
      </c>
      <c r="D54" s="110"/>
      <c r="E54" s="110"/>
    </row>
    <row r="55" spans="1:14" x14ac:dyDescent="0.2">
      <c r="A55" s="9"/>
      <c r="B55" s="76" t="s">
        <v>87</v>
      </c>
      <c r="C55" s="110">
        <v>1</v>
      </c>
      <c r="D55" s="110"/>
      <c r="E55" s="110"/>
    </row>
    <row r="56" spans="1:14" x14ac:dyDescent="0.2">
      <c r="A56" s="9"/>
      <c r="B56" s="76" t="s">
        <v>89</v>
      </c>
      <c r="C56" s="110">
        <v>1</v>
      </c>
      <c r="D56" s="110"/>
      <c r="E56" s="110"/>
    </row>
    <row r="57" spans="1:14" x14ac:dyDescent="0.2">
      <c r="A57" s="9"/>
      <c r="B57" s="76" t="s">
        <v>54</v>
      </c>
      <c r="C57" s="112">
        <v>1</v>
      </c>
      <c r="D57" s="112"/>
      <c r="E57" s="11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T57"/>
  <sheetViews>
    <sheetView zoomScale="90" zoomScaleNormal="90" workbookViewId="0">
      <selection activeCell="F4" sqref="F4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0.140625" bestFit="1" customWidth="1"/>
    <col min="4" max="4" width="12" customWidth="1"/>
    <col min="5" max="5" width="11.140625" bestFit="1" customWidth="1"/>
    <col min="6" max="6" width="16.28515625" customWidth="1"/>
    <col min="7" max="7" width="10.5703125" customWidth="1"/>
    <col min="8" max="10" width="10.85546875" customWidth="1"/>
    <col min="11" max="13" width="10.5703125" customWidth="1"/>
    <col min="14" max="14" width="12.5703125" bestFit="1" customWidth="1"/>
    <col min="15" max="15" width="6.7109375" bestFit="1" customWidth="1"/>
    <col min="16" max="16" width="2" bestFit="1" customWidth="1"/>
    <col min="17" max="17" width="12.28515625" bestFit="1" customWidth="1"/>
    <col min="19" max="19" width="6.7109375" bestFit="1" customWidth="1"/>
    <col min="20" max="20" width="9.28515625" bestFit="1" customWidth="1"/>
  </cols>
  <sheetData>
    <row r="1" spans="1:20" s="9" customFormat="1" x14ac:dyDescent="0.2">
      <c r="Q1" s="35" t="s">
        <v>119</v>
      </c>
      <c r="R1" s="1" t="s">
        <v>120</v>
      </c>
      <c r="S1" s="1" t="s">
        <v>121</v>
      </c>
      <c r="T1" s="1" t="s">
        <v>141</v>
      </c>
    </row>
    <row r="2" spans="1:20" ht="15.75" x14ac:dyDescent="0.25">
      <c r="C2" s="10"/>
      <c r="D2" s="74" t="s">
        <v>47</v>
      </c>
      <c r="E2" s="74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74" t="s">
        <v>54</v>
      </c>
      <c r="L2" s="46"/>
      <c r="Q2" s="11"/>
      <c r="R2" s="20" t="s">
        <v>100</v>
      </c>
      <c r="S2" s="20" t="s">
        <v>97</v>
      </c>
      <c r="T2" s="20" t="s">
        <v>142</v>
      </c>
    </row>
    <row r="3" spans="1:20" ht="25.5" x14ac:dyDescent="0.2">
      <c r="C3" s="152" t="s">
        <v>189</v>
      </c>
      <c r="D3" s="75" t="s">
        <v>55</v>
      </c>
      <c r="E3" s="75" t="s">
        <v>56</v>
      </c>
      <c r="F3" s="75" t="s">
        <v>218</v>
      </c>
      <c r="G3" s="75" t="s">
        <v>57</v>
      </c>
      <c r="H3" s="75" t="s">
        <v>58</v>
      </c>
      <c r="I3" s="75" t="s">
        <v>59</v>
      </c>
      <c r="J3" s="75" t="s">
        <v>60</v>
      </c>
      <c r="K3" s="75" t="s">
        <v>112</v>
      </c>
      <c r="L3" s="70" t="s">
        <v>61</v>
      </c>
    </row>
    <row r="4" spans="1:20" x14ac:dyDescent="0.2">
      <c r="C4" s="210" t="s">
        <v>62</v>
      </c>
      <c r="D4" s="211"/>
      <c r="E4" s="211"/>
      <c r="F4" s="211"/>
      <c r="G4" s="212"/>
      <c r="H4" s="212"/>
      <c r="I4" s="212"/>
      <c r="J4" s="212"/>
      <c r="K4" s="212"/>
      <c r="L4" s="213"/>
    </row>
    <row r="5" spans="1:20" ht="15" x14ac:dyDescent="0.25">
      <c r="B5" s="76" t="s">
        <v>63</v>
      </c>
      <c r="C5" s="214" t="s">
        <v>64</v>
      </c>
      <c r="D5" s="86">
        <f>EnergyBalance!D5*EnergyBalance!W5</f>
        <v>8098.3580000000002</v>
      </c>
      <c r="E5" s="85">
        <f>EnergyBalance!E5*EnergyBalance!X5</f>
        <v>0</v>
      </c>
      <c r="F5" s="85">
        <f>EnergyBalance!F5*EnergyBalance!Y5</f>
        <v>1613.5536</v>
      </c>
      <c r="G5" s="73">
        <f>EnergyBalance!G5*EnergyBalance!Z5</f>
        <v>0</v>
      </c>
      <c r="H5" s="73">
        <f>EnergyBalance!H5*EnergyBalance!AA5</f>
        <v>5026.6000000000004</v>
      </c>
      <c r="I5" s="73">
        <f>EnergyBalance!I5*EnergyBalance!AB5</f>
        <v>0</v>
      </c>
      <c r="J5" s="73">
        <f>EnergyBalance!J5*EnergyBalance!AC5</f>
        <v>0</v>
      </c>
      <c r="K5" s="73">
        <f>EnergyBalance!K5*EnergyBalance!AD5</f>
        <v>0</v>
      </c>
      <c r="L5" s="215">
        <f>SUM(D5:K5)</f>
        <v>14738.5116</v>
      </c>
      <c r="Q5" s="14"/>
    </row>
    <row r="6" spans="1:20" ht="15" x14ac:dyDescent="0.25">
      <c r="B6" s="76" t="s">
        <v>65</v>
      </c>
      <c r="C6" s="214" t="s">
        <v>66</v>
      </c>
      <c r="D6" s="87">
        <f>EnergyBalance!D6*EnergyBalance!W6</f>
        <v>6462.6710000000003</v>
      </c>
      <c r="E6" s="83">
        <f>EnergyBalance!E6*EnergyBalance!X6</f>
        <v>0</v>
      </c>
      <c r="F6" s="83">
        <f>EnergyBalance!F6*EnergyBalance!Y6</f>
        <v>11987.994000000001</v>
      </c>
      <c r="G6" s="73">
        <f>EnergyBalance!G6*EnergyBalance!Z6</f>
        <v>0</v>
      </c>
      <c r="H6" s="73">
        <f>EnergyBalance!H6*EnergyBalance!AA6</f>
        <v>113.01900000000001</v>
      </c>
      <c r="I6" s="73">
        <f>EnergyBalance!I6*EnergyBalance!AB6</f>
        <v>3.5000000000000001E-3</v>
      </c>
      <c r="J6" s="73">
        <f>EnergyBalance!J6*EnergyBalance!AC6</f>
        <v>7.6499999999999999E-2</v>
      </c>
      <c r="K6" s="73">
        <f>EnergyBalance!K6*EnergyBalance!AD6</f>
        <v>583.76</v>
      </c>
      <c r="L6" s="215">
        <f>SUM(D6:K6)</f>
        <v>19147.523999999998</v>
      </c>
    </row>
    <row r="7" spans="1:20" ht="15" x14ac:dyDescent="0.25">
      <c r="B7" s="76" t="s">
        <v>67</v>
      </c>
      <c r="C7" s="214" t="s">
        <v>68</v>
      </c>
      <c r="D7" s="87">
        <f>EnergyBalance!D7*EnergyBalance!W7</f>
        <v>-1147.069</v>
      </c>
      <c r="E7" s="83">
        <f>EnergyBalance!E7*EnergyBalance!X7</f>
        <v>0</v>
      </c>
      <c r="F7" s="83">
        <f>EnergyBalance!F7*EnergyBalance!Y7</f>
        <v>-4449.1985999999997</v>
      </c>
      <c r="G7" s="73">
        <f>EnergyBalance!G7*EnergyBalance!Z7</f>
        <v>0</v>
      </c>
      <c r="H7" s="73">
        <f>EnergyBalance!H7*EnergyBalance!AA7</f>
        <v>-72.403999999999996</v>
      </c>
      <c r="I7" s="73">
        <f>EnergyBalance!I7*EnergyBalance!AB7</f>
        <v>0</v>
      </c>
      <c r="J7" s="73">
        <f>EnergyBalance!J7*EnergyBalance!AC7</f>
        <v>-6.4500000000000002E-2</v>
      </c>
      <c r="K7" s="73">
        <f>EnergyBalance!K7*EnergyBalance!AD7</f>
        <v>-563.40200000000004</v>
      </c>
      <c r="L7" s="215">
        <f>SUM(D7:K7)</f>
        <v>-6232.1381000000001</v>
      </c>
      <c r="Q7" s="14"/>
    </row>
    <row r="8" spans="1:20" ht="15" x14ac:dyDescent="0.25">
      <c r="B8" s="204" t="s">
        <v>212</v>
      </c>
      <c r="C8" s="91" t="s">
        <v>213</v>
      </c>
      <c r="D8" s="92">
        <f t="shared" ref="D8:K8" si="0">SUM(D5:D7)</f>
        <v>13413.960000000001</v>
      </c>
      <c r="E8" s="93">
        <f t="shared" si="0"/>
        <v>0</v>
      </c>
      <c r="F8" s="93">
        <f t="shared" si="0"/>
        <v>9152.3490000000002</v>
      </c>
      <c r="G8" s="93">
        <f t="shared" si="0"/>
        <v>0</v>
      </c>
      <c r="H8" s="93">
        <f t="shared" si="0"/>
        <v>5067.2150000000001</v>
      </c>
      <c r="I8" s="93">
        <f t="shared" si="0"/>
        <v>3.5000000000000001E-3</v>
      </c>
      <c r="J8" s="93">
        <f t="shared" si="0"/>
        <v>1.1999999999999997E-2</v>
      </c>
      <c r="K8" s="93">
        <f t="shared" si="0"/>
        <v>20.357999999999947</v>
      </c>
      <c r="L8" s="94">
        <f>SUM(D8:K8)</f>
        <v>27653.897499999999</v>
      </c>
    </row>
    <row r="9" spans="1:20" x14ac:dyDescent="0.2">
      <c r="B9" s="71"/>
      <c r="C9" s="216" t="s">
        <v>69</v>
      </c>
      <c r="D9" s="12"/>
      <c r="E9" s="12"/>
      <c r="F9" s="12"/>
      <c r="G9" s="12"/>
      <c r="H9" s="12"/>
      <c r="I9" s="12"/>
      <c r="J9" s="12"/>
      <c r="K9" s="12"/>
      <c r="L9" s="217"/>
    </row>
    <row r="10" spans="1:20" x14ac:dyDescent="0.2">
      <c r="B10" s="76" t="s">
        <v>70</v>
      </c>
      <c r="C10" s="96" t="s">
        <v>71</v>
      </c>
      <c r="D10" s="78">
        <f>EnergyBalance!D10*EnergyBalance!W10</f>
        <v>-57.637999999999998</v>
      </c>
      <c r="E10" s="78">
        <f>EnergyBalance!E10*EnergyBalance!X10</f>
        <v>0</v>
      </c>
      <c r="F10" s="78">
        <f>EnergyBalance!F10*EnergyBalance!Y10</f>
        <v>-554.58150000000001</v>
      </c>
      <c r="G10" s="78">
        <f>EnergyBalance!G10*EnergyBalance!Z10</f>
        <v>0</v>
      </c>
      <c r="H10" s="78">
        <f>EnergyBalance!H10*EnergyBalance!AA10</f>
        <v>-4.2830000000000004</v>
      </c>
      <c r="I10" s="78">
        <f>EnergyBalance!I10*EnergyBalance!AB10</f>
        <v>-0.76</v>
      </c>
      <c r="J10" s="79">
        <f>EnergyBalance!J10*EnergyBalance!AC10</f>
        <v>0</v>
      </c>
      <c r="K10" s="79">
        <f>EnergyBalance!K10*EnergyBalance!AD10</f>
        <v>0</v>
      </c>
      <c r="L10" s="218">
        <f>SUM(D10:K10)</f>
        <v>-617.26250000000005</v>
      </c>
    </row>
    <row r="11" spans="1:20" ht="15" x14ac:dyDescent="0.25">
      <c r="B11" s="76" t="s">
        <v>54</v>
      </c>
      <c r="C11" s="97" t="s">
        <v>72</v>
      </c>
      <c r="D11" s="83">
        <f>EnergyBalance!D11*EnergyBalance!W11</f>
        <v>-9598.1200000000008</v>
      </c>
      <c r="E11" s="83">
        <f>EnergyBalance!E11*EnergyBalance!X11</f>
        <v>0</v>
      </c>
      <c r="F11" s="83">
        <f>EnergyBalance!F11*EnergyBalance!Y11</f>
        <v>-367.38269999999994</v>
      </c>
      <c r="G11" s="83">
        <f>EnergyBalance!G11*EnergyBalance!Z11</f>
        <v>0</v>
      </c>
      <c r="H11" s="83">
        <f>EnergyBalance!H11*EnergyBalance!AA11</f>
        <v>-1255.692</v>
      </c>
      <c r="I11" s="78">
        <f>EnergyBalance!I11*EnergyBalance!AB11</f>
        <v>-16.474499999999999</v>
      </c>
      <c r="J11" s="78">
        <f>EnergyBalance!J11*EnergyBalance!AC11</f>
        <v>868.77949999999998</v>
      </c>
      <c r="K11" s="83">
        <f>EnergyBalance!K11*EnergyBalance!AD11</f>
        <v>5790.52</v>
      </c>
      <c r="L11" s="218">
        <f>SUM(D11:K11)</f>
        <v>-4578.3696999999993</v>
      </c>
    </row>
    <row r="12" spans="1:20" x14ac:dyDescent="0.2">
      <c r="B12" s="76" t="s">
        <v>73</v>
      </c>
      <c r="C12" s="97" t="s">
        <v>74</v>
      </c>
      <c r="D12" s="78">
        <f>EnergyBalance!D12*EnergyBalance!W12</f>
        <v>-161.39599999999999</v>
      </c>
      <c r="E12" s="78">
        <f>EnergyBalance!E12*EnergyBalance!X12</f>
        <v>0</v>
      </c>
      <c r="F12" s="78">
        <f>EnergyBalance!F12*EnergyBalance!Y12</f>
        <v>-14.8947</v>
      </c>
      <c r="G12" s="78">
        <f>EnergyBalance!G12*EnergyBalance!Z12</f>
        <v>0</v>
      </c>
      <c r="H12" s="78">
        <f>EnergyBalance!H12*EnergyBalance!AA12</f>
        <v>-140.20699999999999</v>
      </c>
      <c r="I12" s="78">
        <f>EnergyBalance!I12*EnergyBalance!AB12</f>
        <v>-0.78449999999999998</v>
      </c>
      <c r="J12" s="78">
        <f>EnergyBalance!J12*EnergyBalance!AC12</f>
        <v>329.37150000000003</v>
      </c>
      <c r="K12" s="78">
        <f>EnergyBalance!K12*EnergyBalance!AD12</f>
        <v>0</v>
      </c>
      <c r="L12" s="218">
        <f>SUM(D12:K12)</f>
        <v>12.089300000000037</v>
      </c>
    </row>
    <row r="13" spans="1:20" x14ac:dyDescent="0.2">
      <c r="B13" s="76" t="s">
        <v>75</v>
      </c>
      <c r="C13" s="97" t="s">
        <v>76</v>
      </c>
      <c r="D13" s="184">
        <f>EnergyBalance!D13*EnergyBalance!W13</f>
        <v>0</v>
      </c>
      <c r="E13" s="79">
        <f>EnergyBalance!E13*EnergyBalance!X13</f>
        <v>0</v>
      </c>
      <c r="F13" s="78">
        <f>EnergyBalance!F13*EnergyBalance!Y13</f>
        <v>-9520.9382999999998</v>
      </c>
      <c r="G13" s="79">
        <f>EnergyBalance!G13*EnergyBalance!Z13</f>
        <v>0</v>
      </c>
      <c r="H13" s="79">
        <f>EnergyBalance!H13*EnergyBalance!AA13</f>
        <v>0</v>
      </c>
      <c r="I13" s="79">
        <f>EnergyBalance!I13*EnergyBalance!AB13</f>
        <v>0</v>
      </c>
      <c r="J13" s="79">
        <f>EnergyBalance!J13*EnergyBalance!AC13</f>
        <v>0</v>
      </c>
      <c r="K13" s="79">
        <f>EnergyBalance!K13*EnergyBalance!AD13</f>
        <v>0</v>
      </c>
      <c r="L13" s="218">
        <f>SUM(D13:K13)</f>
        <v>-9520.9382999999998</v>
      </c>
    </row>
    <row r="14" spans="1:20" ht="15" x14ac:dyDescent="0.25">
      <c r="B14" s="71"/>
      <c r="C14" s="91" t="s">
        <v>77</v>
      </c>
      <c r="D14" s="95">
        <f t="shared" ref="D14:K14" si="1">SUM(D10:D13)</f>
        <v>-9817.1540000000023</v>
      </c>
      <c r="E14" s="93">
        <f t="shared" si="1"/>
        <v>0</v>
      </c>
      <c r="F14" s="93">
        <f t="shared" si="1"/>
        <v>-10457.797199999999</v>
      </c>
      <c r="G14" s="93">
        <f t="shared" si="1"/>
        <v>0</v>
      </c>
      <c r="H14" s="93">
        <f t="shared" si="1"/>
        <v>-1400.1819999999998</v>
      </c>
      <c r="I14" s="93">
        <f t="shared" si="1"/>
        <v>-18.019000000000002</v>
      </c>
      <c r="J14" s="93">
        <f t="shared" si="1"/>
        <v>1198.1510000000001</v>
      </c>
      <c r="K14" s="93">
        <f t="shared" si="1"/>
        <v>5790.52</v>
      </c>
      <c r="L14" s="94">
        <f>SUM(D14:K14)</f>
        <v>-14704.481200000002</v>
      </c>
    </row>
    <row r="15" spans="1:20" x14ac:dyDescent="0.2">
      <c r="B15" s="71"/>
      <c r="C15" s="216" t="s">
        <v>78</v>
      </c>
      <c r="D15" s="12"/>
      <c r="E15" s="12"/>
      <c r="F15" s="12"/>
      <c r="G15" s="12"/>
      <c r="H15" s="12"/>
      <c r="I15" s="12"/>
      <c r="J15" s="12"/>
      <c r="K15" s="12"/>
      <c r="L15" s="217"/>
    </row>
    <row r="16" spans="1:20" ht="15" x14ac:dyDescent="0.25">
      <c r="A16" s="9"/>
      <c r="B16" s="76" t="s">
        <v>79</v>
      </c>
      <c r="C16" s="98" t="s">
        <v>80</v>
      </c>
      <c r="D16" s="219">
        <f>EnergyBalance!D16*EnergyBalance!W16</f>
        <v>356.55500000000001</v>
      </c>
      <c r="E16" s="83">
        <f>EnergyBalance!E16*EnergyBalance!X16</f>
        <v>0</v>
      </c>
      <c r="F16" s="219">
        <f>EnergyBalance!F16*EnergyBalance!Y16</f>
        <v>686.78790000000004</v>
      </c>
      <c r="G16" s="220">
        <f>EnergyBalance!G16*EnergyBalance!Z16</f>
        <v>0</v>
      </c>
      <c r="H16" s="219">
        <f>EnergyBalance!H16*EnergyBalance!AA16</f>
        <v>1293.9269999999999</v>
      </c>
      <c r="I16" s="219">
        <f>EnergyBalance!I16*EnergyBalance!AB16</f>
        <v>0</v>
      </c>
      <c r="J16" s="219">
        <f>EnergyBalance!J16*EnergyBalance!AC16</f>
        <v>432.74250000000001</v>
      </c>
      <c r="K16" s="219">
        <f>EnergyBalance!K16*EnergyBalance!AD16</f>
        <v>1435.8710000000001</v>
      </c>
      <c r="L16" s="221">
        <f t="shared" ref="L16:L24" si="2">SUM(D16:K16)</f>
        <v>4205.8834000000006</v>
      </c>
    </row>
    <row r="17" spans="1:14" x14ac:dyDescent="0.2">
      <c r="A17" s="9"/>
      <c r="B17" s="76" t="s">
        <v>81</v>
      </c>
      <c r="C17" s="99" t="s">
        <v>82</v>
      </c>
      <c r="D17" s="219">
        <f>EnergyBalance!D17*EnergyBalance!W17</f>
        <v>56.924999999999997</v>
      </c>
      <c r="E17" s="219">
        <f>EnergyBalance!E17*EnergyBalance!X17</f>
        <v>0</v>
      </c>
      <c r="F17" s="219">
        <f>EnergyBalance!F17*EnergyBalance!Y17</f>
        <v>256.44299999999998</v>
      </c>
      <c r="G17" s="220">
        <f>EnergyBalance!G17*EnergyBalance!Z17</f>
        <v>0</v>
      </c>
      <c r="H17" s="219">
        <f>EnergyBalance!H17*EnergyBalance!AA17</f>
        <v>67.406000000000006</v>
      </c>
      <c r="I17" s="219">
        <f>EnergyBalance!I17*EnergyBalance!AB17</f>
        <v>0.60850000000000004</v>
      </c>
      <c r="J17" s="219">
        <f>EnergyBalance!J17*EnergyBalance!AC17</f>
        <v>127.32299999999999</v>
      </c>
      <c r="K17" s="219">
        <f>EnergyBalance!K17*EnergyBalance!AD17</f>
        <v>1263.6955</v>
      </c>
      <c r="L17" s="221">
        <f t="shared" si="2"/>
        <v>1772.4010000000001</v>
      </c>
    </row>
    <row r="18" spans="1:14" x14ac:dyDescent="0.2">
      <c r="A18" s="9"/>
      <c r="B18" s="76" t="s">
        <v>83</v>
      </c>
      <c r="C18" s="99" t="s">
        <v>84</v>
      </c>
      <c r="D18" s="219">
        <f>EnergyBalance!D18*EnergyBalance!W18</f>
        <v>1896.9860000000001</v>
      </c>
      <c r="E18" s="219">
        <f>EnergyBalance!E18*EnergyBalance!X18</f>
        <v>0</v>
      </c>
      <c r="F18" s="219">
        <f>EnergyBalance!F18*EnergyBalance!Y18</f>
        <v>604.83330000000001</v>
      </c>
      <c r="G18" s="220">
        <f>EnergyBalance!G18*EnergyBalance!Z18</f>
        <v>0</v>
      </c>
      <c r="H18" s="219">
        <f>EnergyBalance!H18*EnergyBalance!AA18</f>
        <v>721.67100000000005</v>
      </c>
      <c r="I18" s="219">
        <f>EnergyBalance!I18*EnergyBalance!AB18</f>
        <v>58.595999999999997</v>
      </c>
      <c r="J18" s="219">
        <f>EnergyBalance!J18*EnergyBalance!AC18</f>
        <v>316.79149999999998</v>
      </c>
      <c r="K18" s="219">
        <f>EnergyBalance!K18*EnergyBalance!AD18</f>
        <v>2044.222</v>
      </c>
      <c r="L18" s="221">
        <f t="shared" si="2"/>
        <v>5643.0998</v>
      </c>
    </row>
    <row r="19" spans="1:14" x14ac:dyDescent="0.2">
      <c r="A19" s="9"/>
      <c r="B19" s="76" t="s">
        <v>85</v>
      </c>
      <c r="C19" s="99" t="s">
        <v>86</v>
      </c>
      <c r="D19" s="219">
        <f>EnergyBalance!D19*EnergyBalance!W19</f>
        <v>44.1</v>
      </c>
      <c r="E19" s="219">
        <f>EnergyBalance!E19*EnergyBalance!X19</f>
        <v>0</v>
      </c>
      <c r="F19" s="219">
        <f>EnergyBalance!F19*EnergyBalance!Y19</f>
        <v>239.21159999999998</v>
      </c>
      <c r="G19" s="220">
        <f>EnergyBalance!G19*EnergyBalance!Z19</f>
        <v>0</v>
      </c>
      <c r="H19" s="219">
        <f>EnergyBalance!H19*EnergyBalance!AA19</f>
        <v>63.085999999999999</v>
      </c>
      <c r="I19" s="219">
        <f>EnergyBalance!I19*EnergyBalance!AB19</f>
        <v>5.0000000000000001E-4</v>
      </c>
      <c r="J19" s="219">
        <f>EnergyBalance!J19*EnergyBalance!AC19</f>
        <v>7.7869999999999999</v>
      </c>
      <c r="K19" s="219">
        <f>EnergyBalance!K19*EnergyBalance!AD19</f>
        <v>9.6930000000000014</v>
      </c>
      <c r="L19" s="221">
        <f t="shared" si="2"/>
        <v>363.87809999999996</v>
      </c>
    </row>
    <row r="20" spans="1:14" ht="15" x14ac:dyDescent="0.25">
      <c r="A20" s="9"/>
      <c r="B20" s="76" t="s">
        <v>87</v>
      </c>
      <c r="C20" s="99" t="s">
        <v>88</v>
      </c>
      <c r="D20" s="219">
        <f>EnergyBalance!D20*EnergyBalance!W20</f>
        <v>0.55600000000000005</v>
      </c>
      <c r="E20" s="219">
        <f>EnergyBalance!E20*EnergyBalance!X20</f>
        <v>0</v>
      </c>
      <c r="F20" s="83">
        <f>EnergyBalance!F20*EnergyBalance!Y20</f>
        <v>4455.3746999999994</v>
      </c>
      <c r="G20" s="220">
        <f>EnergyBalance!G20*EnergyBalance!Z20</f>
        <v>0</v>
      </c>
      <c r="H20" s="219">
        <f>EnergyBalance!H20*EnergyBalance!AA20</f>
        <v>130.685</v>
      </c>
      <c r="I20" s="219">
        <f>EnergyBalance!I20*EnergyBalance!AB20</f>
        <v>0</v>
      </c>
      <c r="J20" s="219">
        <f>EnergyBalance!J20*EnergyBalance!AC20</f>
        <v>0</v>
      </c>
      <c r="K20" s="219">
        <f>EnergyBalance!K20*EnergyBalance!AD20</f>
        <v>132.98599999999999</v>
      </c>
      <c r="L20" s="221">
        <f t="shared" si="2"/>
        <v>4719.6016999999993</v>
      </c>
    </row>
    <row r="21" spans="1:14" x14ac:dyDescent="0.2">
      <c r="A21" s="9"/>
      <c r="B21" s="76" t="s">
        <v>89</v>
      </c>
      <c r="C21" s="100" t="s">
        <v>90</v>
      </c>
      <c r="D21" s="82">
        <f>EnergyBalance!D21*EnergyBalance!W21</f>
        <v>1189.2309999999979</v>
      </c>
      <c r="E21" s="82">
        <f>EnergyBalance!E21*EnergyBalance!X21</f>
        <v>0</v>
      </c>
      <c r="F21" s="82">
        <f>EnergyBalance!F21*EnergyBalance!Y21</f>
        <v>117.7596000000012</v>
      </c>
      <c r="G21" s="82">
        <f>EnergyBalance!G21*EnergyBalance!Z21</f>
        <v>0</v>
      </c>
      <c r="H21" s="82">
        <f>EnergyBalance!H21*EnergyBalance!AA21</f>
        <v>1390.2580000000007</v>
      </c>
      <c r="I21" s="82">
        <f>EnergyBalance!I21*EnergyBalance!AB21</f>
        <v>0</v>
      </c>
      <c r="J21" s="82">
        <f>EnergyBalance!J21*EnergyBalance!AC21</f>
        <v>313.51900000000001</v>
      </c>
      <c r="K21" s="82">
        <f>EnergyBalance!K21*EnergyBalance!AD21</f>
        <v>325</v>
      </c>
      <c r="L21" s="222">
        <f t="shared" si="2"/>
        <v>3335.7676000000001</v>
      </c>
    </row>
    <row r="22" spans="1:14" x14ac:dyDescent="0.2">
      <c r="A22" s="9"/>
      <c r="B22" s="76" t="s">
        <v>110</v>
      </c>
      <c r="C22" s="99" t="s">
        <v>91</v>
      </c>
      <c r="D22" s="219">
        <f>EnergyBalance!D22*EnergyBalance!W22</f>
        <v>52.453000000000003</v>
      </c>
      <c r="E22" s="219">
        <f>EnergyBalance!E22*EnergyBalance!X22</f>
        <v>0</v>
      </c>
      <c r="F22" s="219">
        <f>EnergyBalance!F22*EnergyBalance!Y22</f>
        <v>1221.7523999999999</v>
      </c>
      <c r="G22" s="220">
        <f>EnergyBalance!G22*EnergyBalance!Z22</f>
        <v>0</v>
      </c>
      <c r="H22" s="219">
        <f>EnergyBalance!H22*EnergyBalance!AA22</f>
        <v>0</v>
      </c>
      <c r="I22" s="219">
        <f>EnergyBalance!I22*EnergyBalance!AB22</f>
        <v>0</v>
      </c>
      <c r="J22" s="219">
        <f>EnergyBalance!J22*EnergyBalance!AC22</f>
        <v>0</v>
      </c>
      <c r="K22" s="219">
        <f>EnergyBalance!K22*EnergyBalance!AD22</f>
        <v>0</v>
      </c>
      <c r="L22" s="221">
        <f t="shared" si="2"/>
        <v>1274.2053999999998</v>
      </c>
    </row>
    <row r="23" spans="1:14" x14ac:dyDescent="0.2">
      <c r="A23" s="9"/>
      <c r="B23" s="76" t="s">
        <v>111</v>
      </c>
      <c r="C23" s="99" t="s">
        <v>92</v>
      </c>
      <c r="D23" s="219">
        <f>EnergyBalance!D23*EnergyBalance!W23</f>
        <v>0</v>
      </c>
      <c r="E23" s="219">
        <f>EnergyBalance!E23*EnergyBalance!X23</f>
        <v>0</v>
      </c>
      <c r="F23" s="219">
        <f>EnergyBalance!F23*EnergyBalance!Y23</f>
        <v>633.32759999999996</v>
      </c>
      <c r="G23" s="220">
        <f>EnergyBalance!G23*EnergyBalance!Z23</f>
        <v>0</v>
      </c>
      <c r="H23" s="219">
        <f>EnergyBalance!H23*EnergyBalance!AA23</f>
        <v>0</v>
      </c>
      <c r="I23" s="219">
        <f>EnergyBalance!I23*EnergyBalance!AB23</f>
        <v>0</v>
      </c>
      <c r="J23" s="219">
        <f>EnergyBalance!J23*EnergyBalance!AC23</f>
        <v>0</v>
      </c>
      <c r="K23" s="219">
        <f>EnergyBalance!K23*EnergyBalance!AD23</f>
        <v>0</v>
      </c>
      <c r="L23" s="221">
        <f t="shared" si="2"/>
        <v>633.32759999999996</v>
      </c>
    </row>
    <row r="24" spans="1:14" ht="15" x14ac:dyDescent="0.25">
      <c r="A24" s="9"/>
      <c r="B24" s="204" t="s">
        <v>113</v>
      </c>
      <c r="C24" s="91" t="s">
        <v>214</v>
      </c>
      <c r="D24" s="89">
        <f t="shared" ref="D24:J24" si="3">SUM(D16:D23)</f>
        <v>3596.8059999999982</v>
      </c>
      <c r="E24" s="88">
        <f t="shared" si="3"/>
        <v>0</v>
      </c>
      <c r="F24" s="88">
        <f t="shared" si="3"/>
        <v>8215.4901000000009</v>
      </c>
      <c r="G24" s="88">
        <f t="shared" si="3"/>
        <v>0</v>
      </c>
      <c r="H24" s="88">
        <f t="shared" si="3"/>
        <v>3667.0330000000004</v>
      </c>
      <c r="I24" s="88">
        <f t="shared" si="3"/>
        <v>59.204999999999998</v>
      </c>
      <c r="J24" s="88">
        <f t="shared" si="3"/>
        <v>1198.163</v>
      </c>
      <c r="K24" s="89">
        <f>SUM(K16:K23)</f>
        <v>5211.4674999999997</v>
      </c>
      <c r="L24" s="90">
        <f t="shared" si="2"/>
        <v>21948.164599999996</v>
      </c>
      <c r="N24" s="224"/>
    </row>
    <row r="25" spans="1:14" x14ac:dyDescent="0.2">
      <c r="A25" s="9"/>
      <c r="D25" s="14"/>
      <c r="F25" s="14"/>
      <c r="G25" s="14"/>
      <c r="H25" s="14"/>
      <c r="I25" s="14"/>
      <c r="J25" s="14"/>
      <c r="K25" s="14"/>
      <c r="L25" s="14"/>
      <c r="M25" s="14"/>
    </row>
    <row r="26" spans="1:14" x14ac:dyDescent="0.2">
      <c r="A26" s="9"/>
      <c r="D26" s="14"/>
      <c r="F26" s="14"/>
      <c r="G26" s="14"/>
      <c r="H26" s="14"/>
      <c r="I26" s="14"/>
      <c r="J26" s="14"/>
      <c r="K26" s="14"/>
      <c r="L26" s="14"/>
      <c r="M26" s="14"/>
    </row>
    <row r="27" spans="1:14" ht="15" x14ac:dyDescent="0.25">
      <c r="A27" s="9"/>
      <c r="C27" s="83" t="s">
        <v>198</v>
      </c>
      <c r="D27" s="83"/>
      <c r="E27" s="83"/>
      <c r="F27" s="14"/>
      <c r="G27" s="14"/>
      <c r="H27" s="14"/>
      <c r="I27" s="14"/>
      <c r="J27" s="14"/>
      <c r="K27" s="14"/>
      <c r="L27" s="14"/>
      <c r="M27" s="14"/>
    </row>
    <row r="28" spans="1:14" x14ac:dyDescent="0.2">
      <c r="A28" s="9"/>
      <c r="D28" s="14"/>
      <c r="F28" s="14"/>
      <c r="G28" s="14"/>
      <c r="H28" s="14"/>
      <c r="I28" s="14"/>
      <c r="J28" s="14"/>
      <c r="K28" s="14"/>
      <c r="L28" s="14"/>
      <c r="M28" s="14"/>
    </row>
    <row r="29" spans="1:14" x14ac:dyDescent="0.2">
      <c r="A29" s="9"/>
      <c r="D29" s="14"/>
      <c r="F29" s="14"/>
      <c r="G29" s="14"/>
      <c r="H29" s="14"/>
      <c r="I29" s="14"/>
      <c r="J29" s="14"/>
      <c r="K29" s="14"/>
      <c r="L29" s="14"/>
      <c r="M29" s="14"/>
    </row>
    <row r="30" spans="1:14" x14ac:dyDescent="0.2">
      <c r="A30" s="9"/>
      <c r="D30" s="14"/>
      <c r="F30" s="14"/>
      <c r="G30" s="14"/>
      <c r="H30" s="14"/>
      <c r="I30" s="14"/>
      <c r="J30" s="14"/>
      <c r="K30" s="14"/>
      <c r="L30" s="14"/>
      <c r="M30" s="14"/>
    </row>
    <row r="31" spans="1:14" x14ac:dyDescent="0.2">
      <c r="A31" s="9"/>
      <c r="D31" s="14"/>
      <c r="F31" s="14"/>
      <c r="G31" s="14"/>
      <c r="H31" s="14"/>
      <c r="I31" s="14"/>
      <c r="J31" s="14"/>
      <c r="K31" s="14"/>
      <c r="L31" s="14"/>
      <c r="M31" s="14"/>
    </row>
    <row r="32" spans="1:14" x14ac:dyDescent="0.2">
      <c r="A32" s="9"/>
      <c r="D32" s="14"/>
      <c r="F32" s="14"/>
      <c r="G32" s="14"/>
      <c r="H32" s="14"/>
      <c r="I32" s="14"/>
      <c r="J32" s="14"/>
      <c r="K32" s="14"/>
      <c r="L32" s="14"/>
      <c r="M32" s="14"/>
    </row>
    <row r="33" spans="1:14" x14ac:dyDescent="0.2">
      <c r="A33" s="9"/>
      <c r="D33" s="14"/>
      <c r="F33" s="14"/>
      <c r="G33" s="14"/>
      <c r="H33" s="14"/>
      <c r="I33" s="14"/>
      <c r="J33" s="14"/>
      <c r="K33" s="14"/>
      <c r="L33" s="14"/>
      <c r="M33" s="14"/>
    </row>
    <row r="34" spans="1:14" x14ac:dyDescent="0.2">
      <c r="A34" s="9"/>
      <c r="D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2">
      <c r="A35" s="9"/>
      <c r="D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2">
      <c r="A36" s="9"/>
      <c r="D36" s="36" t="s">
        <v>47</v>
      </c>
      <c r="E36" s="36" t="s">
        <v>48</v>
      </c>
      <c r="F36" s="36" t="s">
        <v>49</v>
      </c>
      <c r="G36" s="41"/>
      <c r="H36" s="41"/>
      <c r="I36" s="41"/>
      <c r="J36" s="41"/>
      <c r="K36" s="41"/>
      <c r="L36" s="41"/>
      <c r="M36" s="41"/>
    </row>
    <row r="37" spans="1:14" x14ac:dyDescent="0.2">
      <c r="A37" s="9"/>
      <c r="C37" s="37" t="s">
        <v>155</v>
      </c>
      <c r="D37" s="38">
        <v>0.75</v>
      </c>
      <c r="E37" s="38">
        <v>0.5</v>
      </c>
      <c r="F37" s="38">
        <v>0.8</v>
      </c>
      <c r="G37" s="42"/>
      <c r="H37" s="42"/>
      <c r="I37" s="42"/>
      <c r="J37" s="42"/>
      <c r="K37" s="42"/>
      <c r="L37" s="42"/>
      <c r="M37" s="42"/>
    </row>
    <row r="38" spans="1:14" x14ac:dyDescent="0.2">
      <c r="A38" s="9"/>
      <c r="C38" s="39" t="s">
        <v>156</v>
      </c>
      <c r="D38" s="40">
        <v>0.25</v>
      </c>
      <c r="E38" s="40">
        <v>0.5</v>
      </c>
      <c r="F38" s="40">
        <v>0.2</v>
      </c>
      <c r="G38" s="42"/>
      <c r="H38" s="42"/>
      <c r="I38" s="42"/>
      <c r="J38" s="42"/>
      <c r="K38" s="42"/>
      <c r="L38" s="42"/>
      <c r="M38" s="42"/>
    </row>
    <row r="39" spans="1:14" x14ac:dyDescent="0.2">
      <c r="A39" s="9"/>
      <c r="C39" s="41"/>
      <c r="D39" s="42"/>
    </row>
    <row r="40" spans="1:14" x14ac:dyDescent="0.2">
      <c r="A40" s="9"/>
      <c r="C40" s="41"/>
      <c r="D40" s="42"/>
    </row>
    <row r="41" spans="1:14" ht="25.5" x14ac:dyDescent="0.2">
      <c r="A41" s="9"/>
      <c r="B41" s="46" t="s">
        <v>131</v>
      </c>
      <c r="C41" s="109" t="s">
        <v>157</v>
      </c>
      <c r="D41" s="75" t="s">
        <v>55</v>
      </c>
      <c r="E41" s="75" t="s">
        <v>56</v>
      </c>
      <c r="F41" s="75" t="s">
        <v>192</v>
      </c>
      <c r="G41" s="75" t="s">
        <v>57</v>
      </c>
      <c r="H41" s="75" t="s">
        <v>58</v>
      </c>
      <c r="I41" s="75" t="s">
        <v>59</v>
      </c>
      <c r="J41" s="75" t="s">
        <v>60</v>
      </c>
      <c r="K41" s="75" t="s">
        <v>112</v>
      </c>
      <c r="L41" s="47"/>
    </row>
    <row r="42" spans="1:14" x14ac:dyDescent="0.2">
      <c r="A42" s="9"/>
      <c r="B42" s="76" t="s">
        <v>79</v>
      </c>
      <c r="C42" s="98" t="s">
        <v>132</v>
      </c>
      <c r="D42" s="101"/>
      <c r="E42" s="103"/>
      <c r="F42" s="103"/>
      <c r="G42" s="103"/>
      <c r="H42" s="103"/>
      <c r="I42" s="103"/>
      <c r="J42" s="103"/>
      <c r="K42" s="104"/>
      <c r="L42" s="11"/>
      <c r="N42" s="98" t="s">
        <v>135</v>
      </c>
    </row>
    <row r="43" spans="1:14" x14ac:dyDescent="0.2">
      <c r="A43" s="9"/>
      <c r="B43" s="76" t="s">
        <v>79</v>
      </c>
      <c r="C43" s="99" t="s">
        <v>133</v>
      </c>
      <c r="D43" s="102"/>
      <c r="E43" s="77"/>
      <c r="F43" s="77"/>
      <c r="G43" s="77"/>
      <c r="H43" s="77"/>
      <c r="I43" s="77"/>
      <c r="J43" s="77"/>
      <c r="K43" s="105"/>
      <c r="L43" s="11"/>
      <c r="N43" s="99" t="s">
        <v>136</v>
      </c>
    </row>
    <row r="44" spans="1:14" ht="15" x14ac:dyDescent="0.25">
      <c r="A44" s="9"/>
      <c r="B44" s="76" t="s">
        <v>79</v>
      </c>
      <c r="C44" s="99" t="s">
        <v>134</v>
      </c>
      <c r="D44" s="102"/>
      <c r="E44" s="83">
        <v>1</v>
      </c>
      <c r="F44" s="77"/>
      <c r="G44" s="77"/>
      <c r="H44" s="77"/>
      <c r="I44" s="77"/>
      <c r="J44" s="77"/>
      <c r="K44" s="105"/>
      <c r="L44" s="11"/>
      <c r="N44" s="99" t="s">
        <v>90</v>
      </c>
    </row>
    <row r="45" spans="1:14" x14ac:dyDescent="0.2">
      <c r="A45" s="9"/>
      <c r="B45" s="76"/>
      <c r="C45" s="99"/>
      <c r="D45" s="102"/>
      <c r="E45" s="77"/>
      <c r="F45" s="77"/>
      <c r="G45" s="77"/>
      <c r="H45" s="77"/>
      <c r="I45" s="77"/>
      <c r="J45" s="77"/>
      <c r="K45" s="105"/>
      <c r="L45" s="11"/>
      <c r="N45" s="99"/>
    </row>
    <row r="46" spans="1:14" x14ac:dyDescent="0.2">
      <c r="A46" s="9"/>
      <c r="B46" s="76" t="s">
        <v>81</v>
      </c>
      <c r="C46" s="99" t="s">
        <v>137</v>
      </c>
      <c r="D46" s="102"/>
      <c r="E46" s="77"/>
      <c r="F46" s="77"/>
      <c r="G46" s="77"/>
      <c r="H46" s="77"/>
      <c r="I46" s="77"/>
      <c r="J46" s="77"/>
      <c r="K46" s="105"/>
      <c r="L46" s="11"/>
      <c r="N46" s="99" t="s">
        <v>139</v>
      </c>
    </row>
    <row r="47" spans="1:14" x14ac:dyDescent="0.2">
      <c r="A47" s="9"/>
      <c r="B47" s="76" t="s">
        <v>81</v>
      </c>
      <c r="C47" s="99" t="s">
        <v>138</v>
      </c>
      <c r="D47" s="102"/>
      <c r="E47" s="77"/>
      <c r="F47" s="77"/>
      <c r="G47" s="77"/>
      <c r="H47" s="77"/>
      <c r="I47" s="77"/>
      <c r="J47" s="77"/>
      <c r="K47" s="105"/>
      <c r="L47" s="11"/>
      <c r="N47" s="99" t="s">
        <v>140</v>
      </c>
    </row>
    <row r="48" spans="1:14" x14ac:dyDescent="0.2">
      <c r="A48" s="9"/>
      <c r="B48" s="76"/>
      <c r="C48" s="99"/>
      <c r="D48" s="102"/>
      <c r="E48" s="77"/>
      <c r="F48" s="77"/>
      <c r="G48" s="77"/>
      <c r="H48" s="77"/>
      <c r="I48" s="77"/>
      <c r="J48" s="77"/>
      <c r="K48" s="105"/>
      <c r="L48" s="11"/>
      <c r="N48" s="99"/>
    </row>
    <row r="49" spans="1:15" ht="15" x14ac:dyDescent="0.25">
      <c r="A49" s="9"/>
      <c r="B49" s="76" t="s">
        <v>87</v>
      </c>
      <c r="C49" s="100" t="s">
        <v>137</v>
      </c>
      <c r="D49" s="106"/>
      <c r="E49" s="81"/>
      <c r="F49" s="84">
        <v>1</v>
      </c>
      <c r="G49" s="81"/>
      <c r="H49" s="81"/>
      <c r="I49" s="81"/>
      <c r="J49" s="81"/>
      <c r="K49" s="107"/>
      <c r="L49" s="11"/>
      <c r="N49" s="100" t="s">
        <v>139</v>
      </c>
    </row>
    <row r="50" spans="1:15" x14ac:dyDescent="0.2">
      <c r="A50" s="9"/>
      <c r="O50" s="11"/>
    </row>
    <row r="51" spans="1:15" x14ac:dyDescent="0.2">
      <c r="A51" s="9"/>
      <c r="O51" s="11"/>
    </row>
    <row r="52" spans="1:15" x14ac:dyDescent="0.2">
      <c r="A52" s="9"/>
      <c r="C52" s="113" t="s">
        <v>145</v>
      </c>
      <c r="D52" s="115" t="s">
        <v>146</v>
      </c>
      <c r="E52" s="114" t="s">
        <v>147</v>
      </c>
      <c r="O52" s="11"/>
    </row>
    <row r="53" spans="1:15" x14ac:dyDescent="0.2">
      <c r="A53" s="9"/>
      <c r="B53" s="35" t="s">
        <v>158</v>
      </c>
      <c r="C53" s="108" t="s">
        <v>148</v>
      </c>
      <c r="D53" s="108" t="s">
        <v>149</v>
      </c>
      <c r="E53" s="111" t="s">
        <v>147</v>
      </c>
      <c r="O53" s="11"/>
    </row>
    <row r="54" spans="1:15" x14ac:dyDescent="0.2">
      <c r="A54" s="9"/>
      <c r="B54" s="76" t="s">
        <v>79</v>
      </c>
      <c r="C54" s="110">
        <v>1</v>
      </c>
      <c r="D54" s="110"/>
      <c r="E54" s="110"/>
    </row>
    <row r="55" spans="1:15" x14ac:dyDescent="0.2">
      <c r="A55" s="9"/>
      <c r="B55" s="76" t="s">
        <v>87</v>
      </c>
      <c r="C55" s="110">
        <v>1</v>
      </c>
      <c r="D55" s="110"/>
      <c r="E55" s="110"/>
    </row>
    <row r="56" spans="1:15" x14ac:dyDescent="0.2">
      <c r="A56" s="9"/>
      <c r="B56" s="76" t="s">
        <v>89</v>
      </c>
      <c r="C56" s="110">
        <v>1</v>
      </c>
      <c r="D56" s="110"/>
      <c r="E56" s="110"/>
    </row>
    <row r="57" spans="1:15" x14ac:dyDescent="0.2">
      <c r="A57" s="9"/>
      <c r="B57" s="76" t="s">
        <v>54</v>
      </c>
      <c r="C57" s="112">
        <v>1</v>
      </c>
      <c r="D57" s="112"/>
      <c r="E57" s="112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T57"/>
  <sheetViews>
    <sheetView zoomScale="90" zoomScaleNormal="90" workbookViewId="0">
      <selection activeCell="F4" sqref="F4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85546875" customWidth="1"/>
    <col min="4" max="4" width="10.5703125" customWidth="1"/>
    <col min="5" max="5" width="11.140625" bestFit="1" customWidth="1"/>
    <col min="6" max="6" width="13.42578125" customWidth="1"/>
    <col min="7" max="11" width="11.85546875" customWidth="1"/>
    <col min="12" max="14" width="10.5703125" customWidth="1"/>
    <col min="15" max="15" width="7.28515625" bestFit="1" customWidth="1"/>
    <col min="16" max="16" width="2" bestFit="1" customWidth="1"/>
    <col min="17" max="17" width="12.28515625" bestFit="1" customWidth="1"/>
    <col min="19" max="19" width="6.7109375" bestFit="1" customWidth="1"/>
    <col min="20" max="20" width="9.28515625" bestFit="1" customWidth="1"/>
  </cols>
  <sheetData>
    <row r="1" spans="1:20" s="9" customFormat="1" x14ac:dyDescent="0.2">
      <c r="Q1" s="35" t="s">
        <v>119</v>
      </c>
      <c r="R1" s="1" t="s">
        <v>120</v>
      </c>
      <c r="S1" s="1" t="s">
        <v>121</v>
      </c>
      <c r="T1" s="1" t="s">
        <v>141</v>
      </c>
    </row>
    <row r="2" spans="1:20" ht="15.75" x14ac:dyDescent="0.25">
      <c r="C2" s="10"/>
      <c r="D2" s="74" t="s">
        <v>47</v>
      </c>
      <c r="E2" s="74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74" t="s">
        <v>54</v>
      </c>
      <c r="L2" s="46"/>
      <c r="Q2" s="11"/>
      <c r="R2" s="20" t="s">
        <v>100</v>
      </c>
      <c r="S2" s="20" t="s">
        <v>97</v>
      </c>
      <c r="T2" s="20" t="s">
        <v>142</v>
      </c>
    </row>
    <row r="3" spans="1:20" ht="25.5" x14ac:dyDescent="0.2">
      <c r="C3" s="153" t="s">
        <v>190</v>
      </c>
      <c r="D3" s="75" t="s">
        <v>55</v>
      </c>
      <c r="E3" s="75" t="s">
        <v>56</v>
      </c>
      <c r="F3" s="75" t="s">
        <v>218</v>
      </c>
      <c r="G3" s="75" t="s">
        <v>57</v>
      </c>
      <c r="H3" s="75" t="s">
        <v>58</v>
      </c>
      <c r="I3" s="75" t="s">
        <v>59</v>
      </c>
      <c r="J3" s="75" t="s">
        <v>60</v>
      </c>
      <c r="K3" s="75" t="s">
        <v>112</v>
      </c>
      <c r="L3" s="70" t="s">
        <v>61</v>
      </c>
    </row>
    <row r="4" spans="1:20" x14ac:dyDescent="0.2">
      <c r="C4" s="210" t="s">
        <v>62</v>
      </c>
      <c r="D4" s="211"/>
      <c r="E4" s="211"/>
      <c r="F4" s="211"/>
      <c r="G4" s="212"/>
      <c r="H4" s="212"/>
      <c r="I4" s="212"/>
      <c r="J4" s="212"/>
      <c r="K4" s="212"/>
      <c r="L4" s="213"/>
    </row>
    <row r="5" spans="1:20" ht="15" x14ac:dyDescent="0.25">
      <c r="B5" s="76" t="s">
        <v>63</v>
      </c>
      <c r="C5" s="214" t="s">
        <v>64</v>
      </c>
      <c r="D5" s="86">
        <f>EnergyBalance!D5-'EB1'!D5</f>
        <v>0</v>
      </c>
      <c r="E5" s="85">
        <f>EnergyBalance!E5-'EB1'!E5</f>
        <v>7899.4970000000003</v>
      </c>
      <c r="F5" s="85">
        <f>EnergyBalance!F5-'EB1'!F5</f>
        <v>3764.9583999999995</v>
      </c>
      <c r="G5" s="73">
        <f>EnergyBalance!G5-'EB1'!G5</f>
        <v>10775.148999999999</v>
      </c>
      <c r="H5" s="73">
        <f>EnergyBalance!H5-'EB1'!H5</f>
        <v>0</v>
      </c>
      <c r="I5" s="73">
        <f>EnergyBalance!I5-'EB1'!I5</f>
        <v>0</v>
      </c>
      <c r="J5" s="73">
        <f>EnergyBalance!J5-'EB1'!J5</f>
        <v>0</v>
      </c>
      <c r="K5" s="73">
        <f>EnergyBalance!K5-'EB1'!K5</f>
        <v>0</v>
      </c>
      <c r="L5" s="215">
        <f>SUM(D5:K5)</f>
        <v>22439.604399999997</v>
      </c>
      <c r="Q5" s="14"/>
    </row>
    <row r="6" spans="1:20" ht="15" x14ac:dyDescent="0.25">
      <c r="B6" s="76" t="s">
        <v>65</v>
      </c>
      <c r="C6" s="214" t="s">
        <v>66</v>
      </c>
      <c r="D6" s="87">
        <f>EnergyBalance!D6-'EB1'!D6</f>
        <v>0</v>
      </c>
      <c r="E6" s="83">
        <f>EnergyBalance!E6-'EB1'!E6</f>
        <v>13291.728999999999</v>
      </c>
      <c r="F6" s="83">
        <f>EnergyBalance!F6-'EB1'!F6</f>
        <v>27971.986000000004</v>
      </c>
      <c r="G6" s="73">
        <f>EnergyBalance!G6-'EB1'!G6</f>
        <v>0</v>
      </c>
      <c r="H6" s="73">
        <f>EnergyBalance!H6-'EB1'!H6</f>
        <v>0</v>
      </c>
      <c r="I6" s="73">
        <f>EnergyBalance!I6-'EB1'!I6</f>
        <v>3.5000000000000001E-3</v>
      </c>
      <c r="J6" s="73">
        <f>EnergyBalance!J6-'EB1'!J6</f>
        <v>7.6499999999999999E-2</v>
      </c>
      <c r="K6" s="73">
        <f>EnergyBalance!K6-'EB1'!K6</f>
        <v>583.76</v>
      </c>
      <c r="L6" s="215">
        <f>SUM(D6:K6)</f>
        <v>41847.555000000008</v>
      </c>
    </row>
    <row r="7" spans="1:20" ht="15" x14ac:dyDescent="0.25">
      <c r="B7" s="76" t="s">
        <v>67</v>
      </c>
      <c r="C7" s="214" t="s">
        <v>68</v>
      </c>
      <c r="D7" s="87">
        <f>EnergyBalance!D7-'EB1'!D7</f>
        <v>0</v>
      </c>
      <c r="E7" s="83">
        <f>EnergyBalance!E7-'EB1'!E7</f>
        <v>-2516.3310000000001</v>
      </c>
      <c r="F7" s="83">
        <f>EnergyBalance!F7-'EB1'!F7</f>
        <v>-10381.463400000001</v>
      </c>
      <c r="G7" s="73">
        <f>EnergyBalance!G7-'EB1'!G7</f>
        <v>0</v>
      </c>
      <c r="H7" s="73">
        <f>EnergyBalance!H7-'EB1'!H7</f>
        <v>0</v>
      </c>
      <c r="I7" s="73">
        <f>EnergyBalance!I7-'EB1'!I7</f>
        <v>0</v>
      </c>
      <c r="J7" s="73">
        <f>EnergyBalance!J7-'EB1'!J7</f>
        <v>-6.4500000000000002E-2</v>
      </c>
      <c r="K7" s="73">
        <f>EnergyBalance!K7-'EB1'!K7</f>
        <v>-563.40200000000004</v>
      </c>
      <c r="L7" s="215">
        <f>SUM(D7:K7)</f>
        <v>-13461.260900000001</v>
      </c>
      <c r="Q7" s="14"/>
    </row>
    <row r="8" spans="1:20" ht="15" x14ac:dyDescent="0.25">
      <c r="B8" s="204" t="s">
        <v>212</v>
      </c>
      <c r="C8" s="91" t="s">
        <v>213</v>
      </c>
      <c r="D8" s="92">
        <f t="shared" ref="D8:L8" si="0">SUM(D5:D7)</f>
        <v>0</v>
      </c>
      <c r="E8" s="93">
        <f t="shared" si="0"/>
        <v>18674.894999999997</v>
      </c>
      <c r="F8" s="93">
        <f t="shared" si="0"/>
        <v>21355.481000000003</v>
      </c>
      <c r="G8" s="93">
        <f t="shared" si="0"/>
        <v>10775.148999999999</v>
      </c>
      <c r="H8" s="93">
        <f t="shared" si="0"/>
        <v>0</v>
      </c>
      <c r="I8" s="93">
        <f t="shared" si="0"/>
        <v>3.5000000000000001E-3</v>
      </c>
      <c r="J8" s="93">
        <f t="shared" si="0"/>
        <v>1.1999999999999997E-2</v>
      </c>
      <c r="K8" s="93">
        <f t="shared" si="0"/>
        <v>20.357999999999947</v>
      </c>
      <c r="L8" s="94">
        <f t="shared" si="0"/>
        <v>50825.898500000003</v>
      </c>
    </row>
    <row r="9" spans="1:20" x14ac:dyDescent="0.2">
      <c r="B9" s="71"/>
      <c r="C9" s="216" t="s">
        <v>69</v>
      </c>
      <c r="D9" s="12"/>
      <c r="E9" s="12"/>
      <c r="F9" s="12"/>
      <c r="G9" s="12"/>
      <c r="H9" s="12"/>
      <c r="I9" s="12"/>
      <c r="J9" s="12"/>
      <c r="K9" s="12"/>
      <c r="L9" s="217"/>
    </row>
    <row r="10" spans="1:20" x14ac:dyDescent="0.2">
      <c r="B10" s="76" t="s">
        <v>70</v>
      </c>
      <c r="C10" s="96" t="s">
        <v>71</v>
      </c>
      <c r="D10" s="78">
        <f>EnergyBalance!D10-'EB1'!D10</f>
        <v>0</v>
      </c>
      <c r="E10" s="78">
        <f>EnergyBalance!E10-'EB1'!E10</f>
        <v>-792.98</v>
      </c>
      <c r="F10" s="78">
        <f>EnergyBalance!F10-'EB1'!F10</f>
        <v>-1294.0235</v>
      </c>
      <c r="G10" s="78">
        <f>EnergyBalance!G10-'EB1'!G10</f>
        <v>0</v>
      </c>
      <c r="H10" s="78">
        <f>EnergyBalance!H10-'EB1'!H10</f>
        <v>0</v>
      </c>
      <c r="I10" s="78">
        <f>EnergyBalance!I10-'EB1'!I10</f>
        <v>-0.76</v>
      </c>
      <c r="J10" s="79">
        <f>EnergyBalance!J10-'EB1'!J10</f>
        <v>0</v>
      </c>
      <c r="K10" s="79">
        <f>EnergyBalance!K10-'EB1'!K10</f>
        <v>0</v>
      </c>
      <c r="L10" s="218">
        <f>SUM(D10:K10)</f>
        <v>-2087.7635</v>
      </c>
    </row>
    <row r="11" spans="1:20" ht="15" x14ac:dyDescent="0.25">
      <c r="B11" s="76" t="s">
        <v>54</v>
      </c>
      <c r="C11" s="97" t="s">
        <v>72</v>
      </c>
      <c r="D11" s="83">
        <f>EnergyBalance!D11-'EB1'!D11</f>
        <v>0</v>
      </c>
      <c r="E11" s="83">
        <f>EnergyBalance!E11-'EB1'!E11</f>
        <v>-5635.5439999999999</v>
      </c>
      <c r="F11" s="83">
        <f>EnergyBalance!F11-'EB1'!F11</f>
        <v>-857.22630000000004</v>
      </c>
      <c r="G11" s="83">
        <f>EnergyBalance!G11-'EB1'!G11</f>
        <v>-10775.148999999999</v>
      </c>
      <c r="H11" s="83">
        <f>EnergyBalance!H11-'EB1'!H11</f>
        <v>0</v>
      </c>
      <c r="I11" s="78">
        <f>EnergyBalance!I11-'EB1'!I11</f>
        <v>-16.474499999999999</v>
      </c>
      <c r="J11" s="78">
        <f>EnergyBalance!J11-'EB1'!J11</f>
        <v>868.77949999999998</v>
      </c>
      <c r="K11" s="83">
        <f>EnergyBalance!K11-'EB1'!K11</f>
        <v>5790.52</v>
      </c>
      <c r="L11" s="218">
        <f>SUM(D11:K11)</f>
        <v>-10625.094300000001</v>
      </c>
    </row>
    <row r="12" spans="1:20" x14ac:dyDescent="0.2">
      <c r="B12" s="76" t="s">
        <v>73</v>
      </c>
      <c r="C12" s="97" t="s">
        <v>74</v>
      </c>
      <c r="D12" s="78">
        <f>EnergyBalance!D12-'EB1'!D12</f>
        <v>0</v>
      </c>
      <c r="E12" s="78">
        <f>EnergyBalance!E12-'EB1'!E12</f>
        <v>-301.30099999999999</v>
      </c>
      <c r="F12" s="78">
        <f>EnergyBalance!F12-'EB1'!F12</f>
        <v>-34.754300000000001</v>
      </c>
      <c r="G12" s="78">
        <f>EnergyBalance!G12-'EB1'!G12</f>
        <v>0</v>
      </c>
      <c r="H12" s="78">
        <f>EnergyBalance!H12-'EB1'!H12</f>
        <v>0</v>
      </c>
      <c r="I12" s="78">
        <f>EnergyBalance!I12-'EB1'!I12</f>
        <v>-0.78449999999999998</v>
      </c>
      <c r="J12" s="78">
        <f>EnergyBalance!J12-'EB1'!J12</f>
        <v>329.37150000000003</v>
      </c>
      <c r="K12" s="78">
        <f>EnergyBalance!K12-'EB1'!K12</f>
        <v>0</v>
      </c>
      <c r="L12" s="218">
        <f>SUM(D12:K12)</f>
        <v>-7.4682999999999424</v>
      </c>
    </row>
    <row r="13" spans="1:20" x14ac:dyDescent="0.2">
      <c r="B13" s="76" t="s">
        <v>75</v>
      </c>
      <c r="C13" s="97" t="s">
        <v>76</v>
      </c>
      <c r="D13" s="184">
        <f>EnergyBalance!D13-'EB1'!D13</f>
        <v>0</v>
      </c>
      <c r="E13" s="79">
        <f>EnergyBalance!E13-'EB1'!E13</f>
        <v>0</v>
      </c>
      <c r="F13" s="78">
        <f>EnergyBalance!F13-'EB1'!F13</f>
        <v>-22215.522700000001</v>
      </c>
      <c r="G13" s="79">
        <f>EnergyBalance!G13-'EB1'!G13</f>
        <v>0</v>
      </c>
      <c r="H13" s="79">
        <f>EnergyBalance!H13-'EB1'!H13</f>
        <v>0</v>
      </c>
      <c r="I13" s="79">
        <f>EnergyBalance!I13-'EB1'!I13</f>
        <v>0</v>
      </c>
      <c r="J13" s="79">
        <f>EnergyBalance!J13-'EB1'!J13</f>
        <v>0</v>
      </c>
      <c r="K13" s="79">
        <f>EnergyBalance!K13-'EB1'!K13</f>
        <v>0</v>
      </c>
      <c r="L13" s="218">
        <f>SUM(D13:K13)</f>
        <v>-22215.522700000001</v>
      </c>
    </row>
    <row r="14" spans="1:20" ht="15" x14ac:dyDescent="0.25">
      <c r="B14" s="71"/>
      <c r="C14" s="91" t="s">
        <v>77</v>
      </c>
      <c r="D14" s="95">
        <f t="shared" ref="D14:L14" si="1">SUM(D10:D13)</f>
        <v>0</v>
      </c>
      <c r="E14" s="93">
        <f t="shared" si="1"/>
        <v>-6729.8249999999998</v>
      </c>
      <c r="F14" s="93">
        <f t="shared" si="1"/>
        <v>-24401.5268</v>
      </c>
      <c r="G14" s="93">
        <f t="shared" si="1"/>
        <v>-10775.148999999999</v>
      </c>
      <c r="H14" s="93">
        <f t="shared" si="1"/>
        <v>0</v>
      </c>
      <c r="I14" s="93">
        <f t="shared" si="1"/>
        <v>-18.019000000000002</v>
      </c>
      <c r="J14" s="93">
        <f t="shared" si="1"/>
        <v>1198.1510000000001</v>
      </c>
      <c r="K14" s="93">
        <f t="shared" si="1"/>
        <v>5790.52</v>
      </c>
      <c r="L14" s="94">
        <f t="shared" si="1"/>
        <v>-34935.848800000007</v>
      </c>
    </row>
    <row r="15" spans="1:20" x14ac:dyDescent="0.2">
      <c r="B15" s="71"/>
      <c r="C15" s="216" t="s">
        <v>78</v>
      </c>
      <c r="D15" s="12"/>
      <c r="E15" s="12"/>
      <c r="F15" s="12"/>
      <c r="G15" s="12"/>
      <c r="H15" s="12"/>
      <c r="I15" s="12"/>
      <c r="J15" s="12"/>
      <c r="K15" s="12"/>
      <c r="L15" s="217"/>
    </row>
    <row r="16" spans="1:20" ht="15" x14ac:dyDescent="0.25">
      <c r="A16" s="9"/>
      <c r="B16" s="76" t="s">
        <v>79</v>
      </c>
      <c r="C16" s="98" t="s">
        <v>80</v>
      </c>
      <c r="D16" s="219">
        <f>EnergyBalance!D16-'EB1'!D16</f>
        <v>0</v>
      </c>
      <c r="E16" s="83">
        <f>EnergyBalance!E16-'EB1'!E16</f>
        <v>5159.7929999999997</v>
      </c>
      <c r="F16" s="219">
        <f>EnergyBalance!F16-'EB1'!F16</f>
        <v>1602.5051000000001</v>
      </c>
      <c r="G16" s="220">
        <f>EnergyBalance!G16-'EB1'!G16</f>
        <v>0</v>
      </c>
      <c r="H16" s="219">
        <f>EnergyBalance!H16-'EB1'!H16</f>
        <v>0</v>
      </c>
      <c r="I16" s="219">
        <f>EnergyBalance!I16-'EB1'!I16</f>
        <v>0</v>
      </c>
      <c r="J16" s="219">
        <f>EnergyBalance!J16-'EB1'!J16</f>
        <v>432.74250000000001</v>
      </c>
      <c r="K16" s="219">
        <f>EnergyBalance!K16-'EB1'!K16</f>
        <v>1435.8710000000001</v>
      </c>
      <c r="L16" s="221">
        <f t="shared" ref="L16:L23" si="2">SUM(D16:K16)</f>
        <v>8630.9115999999995</v>
      </c>
    </row>
    <row r="17" spans="1:14" x14ac:dyDescent="0.2">
      <c r="A17" s="9"/>
      <c r="B17" s="76" t="s">
        <v>81</v>
      </c>
      <c r="C17" s="99" t="s">
        <v>82</v>
      </c>
      <c r="D17" s="219">
        <f>EnergyBalance!D17-'EB1'!D17</f>
        <v>0</v>
      </c>
      <c r="E17" s="219">
        <f>EnergyBalance!E17-'EB1'!E17</f>
        <v>1751.73</v>
      </c>
      <c r="F17" s="219">
        <f>EnergyBalance!F17-'EB1'!F17</f>
        <v>598.36699999999996</v>
      </c>
      <c r="G17" s="220">
        <f>EnergyBalance!G17-'EB1'!G17</f>
        <v>0</v>
      </c>
      <c r="H17" s="219">
        <f>EnergyBalance!H17-'EB1'!H17</f>
        <v>0</v>
      </c>
      <c r="I17" s="219">
        <f>EnergyBalance!I17-'EB1'!I17</f>
        <v>0.60850000000000004</v>
      </c>
      <c r="J17" s="219">
        <f>EnergyBalance!J17-'EB1'!J17</f>
        <v>127.32299999999999</v>
      </c>
      <c r="K17" s="219">
        <f>EnergyBalance!K17-'EB1'!K17</f>
        <v>1263.6955</v>
      </c>
      <c r="L17" s="221">
        <f t="shared" si="2"/>
        <v>3741.7239999999993</v>
      </c>
    </row>
    <row r="18" spans="1:14" x14ac:dyDescent="0.2">
      <c r="A18" s="9"/>
      <c r="B18" s="76" t="s">
        <v>83</v>
      </c>
      <c r="C18" s="99" t="s">
        <v>84</v>
      </c>
      <c r="D18" s="219">
        <f>EnergyBalance!D18-'EB1'!D18</f>
        <v>0</v>
      </c>
      <c r="E18" s="219">
        <f>EnergyBalance!E18-'EB1'!E18</f>
        <v>4437.1610000000001</v>
      </c>
      <c r="F18" s="219">
        <f>EnergyBalance!F18-'EB1'!F18</f>
        <v>1411.2777000000001</v>
      </c>
      <c r="G18" s="220">
        <f>EnergyBalance!G18-'EB1'!G18</f>
        <v>0</v>
      </c>
      <c r="H18" s="219">
        <f>EnergyBalance!H18-'EB1'!H18</f>
        <v>0</v>
      </c>
      <c r="I18" s="219">
        <f>EnergyBalance!I18-'EB1'!I18</f>
        <v>58.595999999999997</v>
      </c>
      <c r="J18" s="219">
        <f>EnergyBalance!J18-'EB1'!J18</f>
        <v>316.79149999999998</v>
      </c>
      <c r="K18" s="219">
        <f>EnergyBalance!K18-'EB1'!K18</f>
        <v>2044.222</v>
      </c>
      <c r="L18" s="221">
        <f t="shared" si="2"/>
        <v>8268.0482000000011</v>
      </c>
    </row>
    <row r="19" spans="1:14" x14ac:dyDescent="0.2">
      <c r="A19" s="9"/>
      <c r="B19" s="76" t="s">
        <v>85</v>
      </c>
      <c r="C19" s="99" t="s">
        <v>86</v>
      </c>
      <c r="D19" s="219">
        <f>EnergyBalance!D19-'EB1'!D19</f>
        <v>0</v>
      </c>
      <c r="E19" s="219">
        <f>EnergyBalance!E19-'EB1'!E19</f>
        <v>201.20599999999999</v>
      </c>
      <c r="F19" s="219">
        <f>EnergyBalance!F19-'EB1'!F19</f>
        <v>558.16039999999998</v>
      </c>
      <c r="G19" s="220">
        <f>EnergyBalance!G19-'EB1'!G19</f>
        <v>0</v>
      </c>
      <c r="H19" s="219">
        <f>EnergyBalance!H19-'EB1'!H19</f>
        <v>0</v>
      </c>
      <c r="I19" s="219">
        <f>EnergyBalance!I19-'EB1'!I19</f>
        <v>5.0000000000000001E-4</v>
      </c>
      <c r="J19" s="219">
        <f>EnergyBalance!J19-'EB1'!J19</f>
        <v>7.7869999999999999</v>
      </c>
      <c r="K19" s="219">
        <f>EnergyBalance!K19-'EB1'!K19</f>
        <v>9.6930000000000014</v>
      </c>
      <c r="L19" s="221">
        <f t="shared" si="2"/>
        <v>776.84690000000001</v>
      </c>
    </row>
    <row r="20" spans="1:14" ht="15" x14ac:dyDescent="0.25">
      <c r="A20" s="9"/>
      <c r="B20" s="76" t="s">
        <v>87</v>
      </c>
      <c r="C20" s="99" t="s">
        <v>88</v>
      </c>
      <c r="D20" s="219">
        <f>EnergyBalance!D20-'EB1'!D20</f>
        <v>0</v>
      </c>
      <c r="E20" s="219">
        <f>EnergyBalance!E20-'EB1'!E20</f>
        <v>21.248999999999999</v>
      </c>
      <c r="F20" s="83">
        <f>EnergyBalance!F20-'EB1'!F20</f>
        <v>10395.874299999999</v>
      </c>
      <c r="G20" s="220">
        <f>EnergyBalance!G20-'EB1'!G20</f>
        <v>0</v>
      </c>
      <c r="H20" s="219">
        <f>EnergyBalance!H20-'EB1'!H20</f>
        <v>0</v>
      </c>
      <c r="I20" s="219">
        <f>EnergyBalance!I20-'EB1'!I20</f>
        <v>0</v>
      </c>
      <c r="J20" s="219">
        <f>EnergyBalance!J20-'EB1'!J20</f>
        <v>0</v>
      </c>
      <c r="K20" s="219">
        <f>EnergyBalance!K20-'EB1'!K20</f>
        <v>132.98599999999999</v>
      </c>
      <c r="L20" s="221">
        <f t="shared" si="2"/>
        <v>10550.1093</v>
      </c>
    </row>
    <row r="21" spans="1:14" x14ac:dyDescent="0.2">
      <c r="A21" s="9"/>
      <c r="B21" s="76" t="s">
        <v>89</v>
      </c>
      <c r="C21" s="100" t="s">
        <v>90</v>
      </c>
      <c r="D21" s="82">
        <f>EnergyBalance!D21-'EB1'!D21</f>
        <v>0</v>
      </c>
      <c r="E21" s="82">
        <f>EnergyBalance!E21-'EB1'!E21</f>
        <v>0</v>
      </c>
      <c r="F21" s="82">
        <f>EnergyBalance!F21-'EB1'!F21</f>
        <v>274.77240000000279</v>
      </c>
      <c r="G21" s="82">
        <f>EnergyBalance!G21-'EB1'!G21</f>
        <v>0</v>
      </c>
      <c r="H21" s="82">
        <f>EnergyBalance!H21-'EB1'!H21</f>
        <v>0</v>
      </c>
      <c r="I21" s="82">
        <f>EnergyBalance!I21-'EB1'!I21</f>
        <v>0</v>
      </c>
      <c r="J21" s="82">
        <f>EnergyBalance!J21-'EB1'!J21</f>
        <v>313.51900000000001</v>
      </c>
      <c r="K21" s="82">
        <f>EnergyBalance!K21-'EB1'!K21</f>
        <v>325</v>
      </c>
      <c r="L21" s="222">
        <f t="shared" si="2"/>
        <v>913.2914000000028</v>
      </c>
    </row>
    <row r="22" spans="1:14" x14ac:dyDescent="0.2">
      <c r="A22" s="9"/>
      <c r="B22" s="76" t="s">
        <v>110</v>
      </c>
      <c r="C22" s="99" t="s">
        <v>91</v>
      </c>
      <c r="D22" s="219">
        <f>EnergyBalance!D22-'EB1'!D22</f>
        <v>0</v>
      </c>
      <c r="E22" s="219">
        <f>EnergyBalance!E22-'EB1'!E22</f>
        <v>633.82299999999998</v>
      </c>
      <c r="F22" s="219">
        <f>EnergyBalance!F22-'EB1'!F22</f>
        <v>2850.7556</v>
      </c>
      <c r="G22" s="220">
        <f>EnergyBalance!G22-'EB1'!G22</f>
        <v>0</v>
      </c>
      <c r="H22" s="219">
        <f>EnergyBalance!H22-'EB1'!H22</f>
        <v>0</v>
      </c>
      <c r="I22" s="219">
        <f>EnergyBalance!I22-'EB1'!I22</f>
        <v>0</v>
      </c>
      <c r="J22" s="219">
        <f>EnergyBalance!J22-'EB1'!J22</f>
        <v>0</v>
      </c>
      <c r="K22" s="219">
        <f>EnergyBalance!K22-'EB1'!K22</f>
        <v>0</v>
      </c>
      <c r="L22" s="221">
        <f t="shared" si="2"/>
        <v>3484.5785999999998</v>
      </c>
    </row>
    <row r="23" spans="1:14" x14ac:dyDescent="0.2">
      <c r="A23" s="9"/>
      <c r="B23" s="76" t="s">
        <v>111</v>
      </c>
      <c r="C23" s="99" t="s">
        <v>92</v>
      </c>
      <c r="D23" s="219">
        <f>EnergyBalance!D23-'EB1'!D23</f>
        <v>0</v>
      </c>
      <c r="E23" s="219">
        <f>EnergyBalance!E23-'EB1'!E23</f>
        <v>0</v>
      </c>
      <c r="F23" s="219">
        <f>EnergyBalance!F23-'EB1'!F23</f>
        <v>1477.7644</v>
      </c>
      <c r="G23" s="220">
        <f>EnergyBalance!G23-'EB1'!G23</f>
        <v>0</v>
      </c>
      <c r="H23" s="219">
        <f>EnergyBalance!H23-'EB1'!H23</f>
        <v>0</v>
      </c>
      <c r="I23" s="219">
        <f>EnergyBalance!I23-'EB1'!I23</f>
        <v>0</v>
      </c>
      <c r="J23" s="219">
        <f>EnergyBalance!J23-'EB1'!J23</f>
        <v>0</v>
      </c>
      <c r="K23" s="219">
        <f>EnergyBalance!K23-'EB1'!K23</f>
        <v>0</v>
      </c>
      <c r="L23" s="221">
        <f t="shared" si="2"/>
        <v>1477.7644</v>
      </c>
    </row>
    <row r="24" spans="1:14" ht="15" x14ac:dyDescent="0.25">
      <c r="A24" s="9"/>
      <c r="B24" s="204" t="s">
        <v>113</v>
      </c>
      <c r="C24" s="91" t="s">
        <v>214</v>
      </c>
      <c r="D24" s="89">
        <f t="shared" ref="D24:L24" si="3">SUM(D16:D23)</f>
        <v>0</v>
      </c>
      <c r="E24" s="88">
        <f t="shared" si="3"/>
        <v>12204.962</v>
      </c>
      <c r="F24" s="88">
        <f t="shared" si="3"/>
        <v>19169.476900000001</v>
      </c>
      <c r="G24" s="88">
        <f t="shared" si="3"/>
        <v>0</v>
      </c>
      <c r="H24" s="88">
        <f t="shared" si="3"/>
        <v>0</v>
      </c>
      <c r="I24" s="88">
        <f t="shared" si="3"/>
        <v>59.204999999999998</v>
      </c>
      <c r="J24" s="88">
        <f t="shared" si="3"/>
        <v>1198.163</v>
      </c>
      <c r="K24" s="89">
        <f t="shared" si="3"/>
        <v>5211.4674999999997</v>
      </c>
      <c r="L24" s="90">
        <f t="shared" si="3"/>
        <v>37843.274400000002</v>
      </c>
      <c r="N24" s="223"/>
    </row>
    <row r="25" spans="1:14" x14ac:dyDescent="0.2">
      <c r="A25" s="9"/>
      <c r="D25" s="14"/>
      <c r="F25" s="14"/>
      <c r="G25" s="14"/>
      <c r="H25" s="14"/>
      <c r="I25" s="14"/>
      <c r="J25" s="14"/>
      <c r="K25" s="14"/>
      <c r="L25" s="14"/>
      <c r="M25" s="14"/>
    </row>
    <row r="26" spans="1:14" x14ac:dyDescent="0.2">
      <c r="A26" s="9"/>
      <c r="D26" s="14"/>
      <c r="F26" s="14"/>
      <c r="G26" s="14"/>
      <c r="H26" s="14"/>
      <c r="I26" s="14"/>
      <c r="J26" s="14"/>
      <c r="K26" s="14"/>
      <c r="L26" s="14"/>
      <c r="M26" s="14"/>
    </row>
    <row r="27" spans="1:14" ht="15" x14ac:dyDescent="0.25">
      <c r="A27" s="9"/>
      <c r="C27" s="83" t="s">
        <v>198</v>
      </c>
      <c r="D27" s="83"/>
      <c r="E27" s="83"/>
      <c r="F27" s="14"/>
      <c r="G27" s="14"/>
      <c r="H27" s="14"/>
      <c r="I27" s="14"/>
      <c r="J27" s="14"/>
      <c r="K27" s="14"/>
      <c r="L27" s="14"/>
      <c r="M27" s="14"/>
    </row>
    <row r="28" spans="1:14" x14ac:dyDescent="0.2">
      <c r="A28" s="9"/>
      <c r="D28" s="14"/>
      <c r="F28" s="14"/>
      <c r="G28" s="14"/>
      <c r="H28" s="14"/>
      <c r="I28" s="14"/>
      <c r="J28" s="14"/>
      <c r="K28" s="14"/>
      <c r="L28" s="14"/>
      <c r="M28" s="14"/>
    </row>
    <row r="29" spans="1:14" x14ac:dyDescent="0.2">
      <c r="A29" s="9"/>
      <c r="D29" s="14"/>
      <c r="F29" s="14"/>
      <c r="G29" s="14"/>
      <c r="H29" s="14"/>
      <c r="I29" s="14"/>
      <c r="J29" s="14"/>
      <c r="K29" s="14"/>
      <c r="L29" s="14"/>
      <c r="M29" s="14"/>
    </row>
    <row r="30" spans="1:14" x14ac:dyDescent="0.2">
      <c r="A30" s="9"/>
      <c r="D30" s="14"/>
      <c r="F30" s="14"/>
      <c r="G30" s="14"/>
      <c r="H30" s="14"/>
      <c r="I30" s="14"/>
      <c r="J30" s="14"/>
      <c r="K30" s="14"/>
      <c r="L30" s="14"/>
      <c r="M30" s="14"/>
    </row>
    <row r="31" spans="1:14" x14ac:dyDescent="0.2">
      <c r="A31" s="9"/>
      <c r="D31" s="14"/>
      <c r="F31" s="14"/>
      <c r="G31" s="14"/>
      <c r="H31" s="14"/>
      <c r="I31" s="14"/>
      <c r="J31" s="14"/>
      <c r="K31" s="14"/>
      <c r="L31" s="14"/>
      <c r="M31" s="14"/>
    </row>
    <row r="32" spans="1:14" x14ac:dyDescent="0.2">
      <c r="A32" s="9"/>
      <c r="D32" s="14"/>
      <c r="F32" s="14"/>
      <c r="G32" s="14"/>
      <c r="H32" s="14"/>
      <c r="I32" s="14"/>
      <c r="J32" s="14"/>
      <c r="K32" s="14"/>
      <c r="L32" s="14"/>
      <c r="M32" s="14"/>
    </row>
    <row r="33" spans="1:14" x14ac:dyDescent="0.2">
      <c r="A33" s="9"/>
      <c r="D33" s="14"/>
      <c r="F33" s="14"/>
      <c r="G33" s="14"/>
      <c r="H33" s="14"/>
      <c r="I33" s="14"/>
      <c r="J33" s="14"/>
      <c r="K33" s="14"/>
      <c r="L33" s="14"/>
      <c r="M33" s="14"/>
    </row>
    <row r="34" spans="1:14" x14ac:dyDescent="0.2">
      <c r="A34" s="9"/>
      <c r="D34" s="14"/>
      <c r="F34" s="14"/>
      <c r="G34" s="14"/>
      <c r="H34" s="14"/>
      <c r="I34" s="14"/>
      <c r="J34" s="14"/>
      <c r="K34" s="14"/>
      <c r="L34" s="14"/>
      <c r="M34" s="14"/>
    </row>
    <row r="35" spans="1:14" x14ac:dyDescent="0.2">
      <c r="A35" s="9"/>
      <c r="D35" s="14"/>
      <c r="F35" s="14"/>
      <c r="G35" s="14"/>
      <c r="H35" s="14"/>
      <c r="I35" s="14"/>
      <c r="J35" s="14"/>
      <c r="K35" s="14"/>
      <c r="L35" s="14"/>
      <c r="M35" s="14"/>
    </row>
    <row r="36" spans="1:14" x14ac:dyDescent="0.2">
      <c r="A36" s="9"/>
      <c r="D36" s="36" t="s">
        <v>47</v>
      </c>
      <c r="E36" s="36" t="s">
        <v>48</v>
      </c>
      <c r="F36" s="36" t="s">
        <v>49</v>
      </c>
      <c r="G36" s="41"/>
      <c r="H36" s="41"/>
      <c r="I36" s="41"/>
      <c r="J36" s="41"/>
      <c r="K36" s="41"/>
      <c r="L36" s="41"/>
      <c r="M36" s="41"/>
    </row>
    <row r="37" spans="1:14" x14ac:dyDescent="0.2">
      <c r="A37" s="9"/>
      <c r="C37" s="37" t="s">
        <v>155</v>
      </c>
      <c r="D37" s="38">
        <v>0.75</v>
      </c>
      <c r="E37" s="38">
        <v>0.5</v>
      </c>
      <c r="F37" s="38">
        <v>0.8</v>
      </c>
      <c r="G37" s="42"/>
      <c r="H37" s="42"/>
      <c r="I37" s="42"/>
      <c r="J37" s="42"/>
      <c r="K37" s="42"/>
      <c r="L37" s="42"/>
      <c r="M37" s="42"/>
    </row>
    <row r="38" spans="1:14" x14ac:dyDescent="0.2">
      <c r="A38" s="9"/>
      <c r="C38" s="39" t="s">
        <v>156</v>
      </c>
      <c r="D38" s="40">
        <v>0.25</v>
      </c>
      <c r="E38" s="40">
        <v>0.5</v>
      </c>
      <c r="F38" s="40">
        <v>0.2</v>
      </c>
      <c r="G38" s="42"/>
      <c r="H38" s="42"/>
      <c r="I38" s="42"/>
      <c r="J38" s="42"/>
      <c r="K38" s="42"/>
      <c r="L38" s="42"/>
      <c r="M38" s="42"/>
    </row>
    <row r="39" spans="1:14" x14ac:dyDescent="0.2">
      <c r="A39" s="9"/>
      <c r="C39" s="41"/>
      <c r="D39" s="42"/>
    </row>
    <row r="40" spans="1:14" x14ac:dyDescent="0.2">
      <c r="A40" s="9"/>
      <c r="C40" s="41"/>
      <c r="D40" s="42"/>
    </row>
    <row r="41" spans="1:14" ht="25.5" x14ac:dyDescent="0.2">
      <c r="A41" s="9"/>
      <c r="B41" s="46" t="s">
        <v>131</v>
      </c>
      <c r="C41" s="109" t="s">
        <v>157</v>
      </c>
      <c r="D41" s="75" t="s">
        <v>55</v>
      </c>
      <c r="E41" s="75" t="s">
        <v>56</v>
      </c>
      <c r="F41" s="75" t="s">
        <v>192</v>
      </c>
      <c r="G41" s="75" t="s">
        <v>57</v>
      </c>
      <c r="H41" s="75" t="s">
        <v>58</v>
      </c>
      <c r="I41" s="75" t="s">
        <v>59</v>
      </c>
      <c r="J41" s="75" t="s">
        <v>60</v>
      </c>
      <c r="K41" s="75" t="s">
        <v>112</v>
      </c>
      <c r="L41" s="47"/>
    </row>
    <row r="42" spans="1:14" x14ac:dyDescent="0.2">
      <c r="A42" s="9"/>
      <c r="B42" s="76" t="s">
        <v>79</v>
      </c>
      <c r="C42" s="98" t="s">
        <v>132</v>
      </c>
      <c r="D42" s="101"/>
      <c r="E42" s="103"/>
      <c r="F42" s="103"/>
      <c r="G42" s="103"/>
      <c r="H42" s="103"/>
      <c r="I42" s="103"/>
      <c r="J42" s="103"/>
      <c r="K42" s="104"/>
      <c r="L42" s="11"/>
      <c r="N42" s="98" t="s">
        <v>135</v>
      </c>
    </row>
    <row r="43" spans="1:14" x14ac:dyDescent="0.2">
      <c r="A43" s="9"/>
      <c r="B43" s="76" t="s">
        <v>79</v>
      </c>
      <c r="C43" s="99" t="s">
        <v>133</v>
      </c>
      <c r="D43" s="102"/>
      <c r="E43" s="77"/>
      <c r="F43" s="77"/>
      <c r="G43" s="77"/>
      <c r="H43" s="77"/>
      <c r="I43" s="77"/>
      <c r="J43" s="77"/>
      <c r="K43" s="105"/>
      <c r="L43" s="11"/>
      <c r="N43" s="99" t="s">
        <v>136</v>
      </c>
    </row>
    <row r="44" spans="1:14" ht="15" x14ac:dyDescent="0.25">
      <c r="A44" s="9"/>
      <c r="B44" s="76" t="s">
        <v>79</v>
      </c>
      <c r="C44" s="99" t="s">
        <v>134</v>
      </c>
      <c r="D44" s="102"/>
      <c r="E44" s="83">
        <v>1</v>
      </c>
      <c r="F44" s="77"/>
      <c r="G44" s="77"/>
      <c r="H44" s="77"/>
      <c r="I44" s="77"/>
      <c r="J44" s="77"/>
      <c r="K44" s="105"/>
      <c r="L44" s="11"/>
      <c r="N44" s="99" t="s">
        <v>90</v>
      </c>
    </row>
    <row r="45" spans="1:14" x14ac:dyDescent="0.2">
      <c r="A45" s="9"/>
      <c r="B45" s="76"/>
      <c r="C45" s="99"/>
      <c r="D45" s="102"/>
      <c r="E45" s="77"/>
      <c r="F45" s="77"/>
      <c r="G45" s="77"/>
      <c r="H45" s="77"/>
      <c r="I45" s="77"/>
      <c r="J45" s="77"/>
      <c r="K45" s="105"/>
      <c r="L45" s="11"/>
      <c r="N45" s="99"/>
    </row>
    <row r="46" spans="1:14" x14ac:dyDescent="0.2">
      <c r="A46" s="9"/>
      <c r="B46" s="76" t="s">
        <v>81</v>
      </c>
      <c r="C46" s="99" t="s">
        <v>137</v>
      </c>
      <c r="D46" s="102"/>
      <c r="E46" s="77"/>
      <c r="F46" s="77"/>
      <c r="G46" s="77"/>
      <c r="H46" s="77"/>
      <c r="I46" s="77"/>
      <c r="J46" s="77"/>
      <c r="K46" s="105"/>
      <c r="L46" s="11"/>
      <c r="N46" s="99" t="s">
        <v>139</v>
      </c>
    </row>
    <row r="47" spans="1:14" x14ac:dyDescent="0.2">
      <c r="A47" s="9"/>
      <c r="B47" s="76" t="s">
        <v>81</v>
      </c>
      <c r="C47" s="99" t="s">
        <v>138</v>
      </c>
      <c r="D47" s="102"/>
      <c r="E47" s="77"/>
      <c r="F47" s="77"/>
      <c r="G47" s="77"/>
      <c r="H47" s="77"/>
      <c r="I47" s="77"/>
      <c r="J47" s="77"/>
      <c r="K47" s="105"/>
      <c r="L47" s="11"/>
      <c r="N47" s="99" t="s">
        <v>140</v>
      </c>
    </row>
    <row r="48" spans="1:14" x14ac:dyDescent="0.2">
      <c r="A48" s="9"/>
      <c r="B48" s="76"/>
      <c r="C48" s="99"/>
      <c r="D48" s="102"/>
      <c r="E48" s="77"/>
      <c r="F48" s="77"/>
      <c r="G48" s="77"/>
      <c r="H48" s="77"/>
      <c r="I48" s="77"/>
      <c r="J48" s="77"/>
      <c r="K48" s="105"/>
      <c r="L48" s="11"/>
      <c r="N48" s="99"/>
    </row>
    <row r="49" spans="1:15" ht="15" x14ac:dyDescent="0.25">
      <c r="A49" s="9"/>
      <c r="B49" s="76" t="s">
        <v>87</v>
      </c>
      <c r="C49" s="100" t="s">
        <v>137</v>
      </c>
      <c r="D49" s="106"/>
      <c r="E49" s="81"/>
      <c r="F49" s="84">
        <v>1</v>
      </c>
      <c r="G49" s="81"/>
      <c r="H49" s="81"/>
      <c r="I49" s="81"/>
      <c r="J49" s="81"/>
      <c r="K49" s="107"/>
      <c r="L49" s="11"/>
      <c r="N49" s="100" t="s">
        <v>139</v>
      </c>
    </row>
    <row r="50" spans="1:15" x14ac:dyDescent="0.2">
      <c r="A50" s="9"/>
      <c r="O50" s="11"/>
    </row>
    <row r="51" spans="1:15" x14ac:dyDescent="0.2">
      <c r="A51" s="9"/>
      <c r="O51" s="11"/>
    </row>
    <row r="52" spans="1:15" x14ac:dyDescent="0.2">
      <c r="A52" s="9"/>
      <c r="C52" s="113" t="s">
        <v>145</v>
      </c>
      <c r="D52" s="115" t="s">
        <v>146</v>
      </c>
      <c r="E52" s="114" t="s">
        <v>147</v>
      </c>
      <c r="O52" s="11"/>
    </row>
    <row r="53" spans="1:15" x14ac:dyDescent="0.2">
      <c r="A53" s="9"/>
      <c r="B53" s="35" t="s">
        <v>158</v>
      </c>
      <c r="C53" s="108" t="s">
        <v>148</v>
      </c>
      <c r="D53" s="108" t="s">
        <v>149</v>
      </c>
      <c r="E53" s="111" t="s">
        <v>147</v>
      </c>
      <c r="O53" s="11"/>
    </row>
    <row r="54" spans="1:15" x14ac:dyDescent="0.2">
      <c r="A54" s="9"/>
      <c r="B54" s="76" t="s">
        <v>79</v>
      </c>
      <c r="C54" s="110">
        <v>1</v>
      </c>
      <c r="D54" s="110"/>
      <c r="E54" s="110"/>
    </row>
    <row r="55" spans="1:15" x14ac:dyDescent="0.2">
      <c r="A55" s="9"/>
      <c r="B55" s="76" t="s">
        <v>87</v>
      </c>
      <c r="C55" s="110">
        <v>1</v>
      </c>
      <c r="D55" s="110"/>
      <c r="E55" s="110"/>
    </row>
    <row r="56" spans="1:15" x14ac:dyDescent="0.2">
      <c r="A56" s="9"/>
      <c r="B56" s="76" t="s">
        <v>89</v>
      </c>
      <c r="C56" s="110">
        <v>1</v>
      </c>
      <c r="D56" s="110"/>
      <c r="E56" s="110"/>
    </row>
    <row r="57" spans="1:15" x14ac:dyDescent="0.2">
      <c r="A57" s="9"/>
      <c r="B57" s="76" t="s">
        <v>54</v>
      </c>
      <c r="C57" s="112">
        <v>1</v>
      </c>
      <c r="D57" s="112"/>
      <c r="E57" s="112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20"/>
  <sheetViews>
    <sheetView tabSelected="1" zoomScale="60" zoomScaleNormal="60" workbookViewId="0">
      <selection activeCell="B19" sqref="B19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12" max="12" width="6.7109375" customWidth="1"/>
    <col min="13" max="13" width="7.140625" customWidth="1"/>
    <col min="23" max="23" width="5.42578125" customWidth="1"/>
  </cols>
  <sheetData>
    <row r="2" spans="2:15" ht="18" x14ac:dyDescent="0.25">
      <c r="B2" s="173" t="s">
        <v>219</v>
      </c>
      <c r="M2" s="173"/>
    </row>
    <row r="4" spans="2:15" ht="18" x14ac:dyDescent="0.25">
      <c r="B4" s="173" t="s">
        <v>201</v>
      </c>
    </row>
    <row r="6" spans="2:15" x14ac:dyDescent="0.2">
      <c r="B6" s="46" t="s">
        <v>217</v>
      </c>
    </row>
    <row r="11" spans="2:15" x14ac:dyDescent="0.2">
      <c r="M11" s="175"/>
      <c r="N11" s="175"/>
      <c r="O11" s="9"/>
    </row>
    <row r="12" spans="2:15" x14ac:dyDescent="0.2">
      <c r="M12" s="9"/>
      <c r="N12" s="16"/>
      <c r="O12" s="9"/>
    </row>
    <row r="13" spans="2:15" x14ac:dyDescent="0.2">
      <c r="M13" s="9"/>
      <c r="N13" s="16"/>
      <c r="O13" s="9"/>
    </row>
    <row r="14" spans="2:15" x14ac:dyDescent="0.2">
      <c r="M14" s="9"/>
      <c r="N14" s="16"/>
      <c r="O14" s="9"/>
    </row>
    <row r="15" spans="2:15" x14ac:dyDescent="0.2">
      <c r="M15" s="9"/>
      <c r="N15" s="16"/>
      <c r="O15" s="9"/>
    </row>
    <row r="16" spans="2:15" x14ac:dyDescent="0.2">
      <c r="M16" s="9"/>
      <c r="N16" s="16"/>
      <c r="O16" s="9"/>
    </row>
    <row r="17" spans="2:27" x14ac:dyDescent="0.2">
      <c r="M17" s="9"/>
      <c r="N17" s="16"/>
      <c r="O17" s="9"/>
    </row>
    <row r="18" spans="2:27" ht="18" x14ac:dyDescent="0.25">
      <c r="B18" s="173" t="s">
        <v>220</v>
      </c>
      <c r="M18" s="9"/>
      <c r="N18" s="9"/>
      <c r="O18" s="9"/>
    </row>
    <row r="20" spans="2:27" x14ac:dyDescent="0.2">
      <c r="D20" s="174" t="s">
        <v>202</v>
      </c>
      <c r="E20" s="174"/>
      <c r="F20" s="174"/>
      <c r="G20" s="174"/>
      <c r="H20" s="174"/>
      <c r="I20" s="174"/>
      <c r="N20" s="174" t="s">
        <v>203</v>
      </c>
      <c r="O20" s="174"/>
      <c r="P20" s="174"/>
      <c r="Q20" s="174"/>
      <c r="X20" s="174" t="s">
        <v>204</v>
      </c>
      <c r="Y20" s="174"/>
      <c r="Z20" s="174"/>
      <c r="AA20" s="174"/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3"/>
  <sheetViews>
    <sheetView zoomScaleNormal="100" workbookViewId="0">
      <selection activeCell="F23" sqref="F23"/>
    </sheetView>
  </sheetViews>
  <sheetFormatPr defaultRowHeight="12.75" x14ac:dyDescent="0.2"/>
  <cols>
    <col min="1" max="1" width="2" bestFit="1" customWidth="1"/>
    <col min="2" max="2" width="11.5703125" bestFit="1" customWidth="1"/>
    <col min="3" max="3" width="11.28515625" bestFit="1" customWidth="1"/>
    <col min="4" max="4" width="11.7109375" customWidth="1"/>
    <col min="5" max="5" width="11.42578125" bestFit="1" customWidth="1"/>
    <col min="6" max="6" width="13.42578125" customWidth="1"/>
    <col min="7" max="7" width="8.42578125" bestFit="1" customWidth="1"/>
    <col min="8" max="8" width="14.140625" customWidth="1"/>
    <col min="9" max="9" width="2" customWidth="1"/>
    <col min="10" max="10" width="13.7109375" customWidth="1"/>
    <col min="11" max="11" width="7.140625" customWidth="1"/>
    <col min="12" max="12" width="11.42578125" bestFit="1" customWidth="1"/>
    <col min="13" max="13" width="35" bestFit="1" customWidth="1"/>
    <col min="14" max="14" width="6.28515625" customWidth="1"/>
    <col min="15" max="15" width="11.5703125" customWidth="1"/>
    <col min="16" max="16" width="13" customWidth="1"/>
    <col min="17" max="17" width="15.140625" customWidth="1"/>
    <col min="18" max="18" width="7.5703125" bestFit="1" customWidth="1"/>
  </cols>
  <sheetData>
    <row r="1" spans="1:19" ht="30" x14ac:dyDescent="0.25">
      <c r="B1" s="43" t="s">
        <v>94</v>
      </c>
      <c r="C1" s="43" t="s">
        <v>95</v>
      </c>
      <c r="D1" s="43" t="s">
        <v>96</v>
      </c>
      <c r="E1" s="43" t="s">
        <v>98</v>
      </c>
      <c r="F1" s="43" t="s">
        <v>99</v>
      </c>
    </row>
    <row r="2" spans="1:19" ht="15.75" x14ac:dyDescent="0.25">
      <c r="B2" s="20"/>
      <c r="C2" s="20" t="str">
        <f>EnergyBalance!D2</f>
        <v>COA</v>
      </c>
      <c r="D2" s="20" t="str">
        <f>EnergyBalance!D3</f>
        <v>Solid Fuels</v>
      </c>
      <c r="E2" s="20" t="str">
        <f>EnergyBalance!R2</f>
        <v>PJ</v>
      </c>
      <c r="F2" s="20" t="str">
        <f>EnergyBalance!Q2</f>
        <v>M€2005</v>
      </c>
      <c r="J2" s="254" t="s">
        <v>14</v>
      </c>
      <c r="K2" s="254"/>
      <c r="L2" s="255"/>
      <c r="M2" s="255"/>
      <c r="N2" s="255"/>
      <c r="O2" s="255"/>
      <c r="P2" s="255"/>
      <c r="Q2" s="255"/>
      <c r="R2" s="255"/>
    </row>
    <row r="3" spans="1:19" x14ac:dyDescent="0.2">
      <c r="J3" s="256" t="s">
        <v>7</v>
      </c>
      <c r="K3" s="257" t="s">
        <v>30</v>
      </c>
      <c r="L3" s="256" t="s">
        <v>0</v>
      </c>
      <c r="M3" s="256" t="s">
        <v>3</v>
      </c>
      <c r="N3" s="256" t="s">
        <v>4</v>
      </c>
      <c r="O3" s="256" t="s">
        <v>8</v>
      </c>
      <c r="P3" s="256" t="s">
        <v>9</v>
      </c>
      <c r="Q3" s="256" t="s">
        <v>10</v>
      </c>
      <c r="R3" s="256" t="s">
        <v>12</v>
      </c>
    </row>
    <row r="4" spans="1:19" ht="23.25" thickBot="1" x14ac:dyDescent="0.25">
      <c r="C4" s="1"/>
      <c r="J4" s="258" t="s">
        <v>40</v>
      </c>
      <c r="K4" s="258" t="s">
        <v>31</v>
      </c>
      <c r="L4" s="258" t="s">
        <v>26</v>
      </c>
      <c r="M4" s="258" t="s">
        <v>27</v>
      </c>
      <c r="N4" s="258" t="s">
        <v>4</v>
      </c>
      <c r="O4" s="258" t="s">
        <v>43</v>
      </c>
      <c r="P4" s="258" t="s">
        <v>44</v>
      </c>
      <c r="Q4" s="258" t="s">
        <v>28</v>
      </c>
      <c r="R4" s="258" t="s">
        <v>29</v>
      </c>
    </row>
    <row r="5" spans="1:19" x14ac:dyDescent="0.2">
      <c r="J5" s="259" t="s">
        <v>93</v>
      </c>
      <c r="K5" s="260"/>
      <c r="L5" s="259" t="str">
        <f>C2</f>
        <v>COA</v>
      </c>
      <c r="M5" s="259" t="str">
        <f>D2</f>
        <v>Solid Fuels</v>
      </c>
      <c r="N5" s="259" t="str">
        <f>$E$2</f>
        <v>PJ</v>
      </c>
      <c r="O5" s="259"/>
      <c r="P5" s="259"/>
      <c r="Q5" s="259"/>
      <c r="R5" s="259"/>
    </row>
    <row r="6" spans="1:19" x14ac:dyDescent="0.2">
      <c r="J6" s="16"/>
      <c r="K6" s="9"/>
      <c r="L6" s="16"/>
      <c r="M6" s="16"/>
      <c r="N6" s="16"/>
      <c r="O6" s="16"/>
      <c r="P6" s="16"/>
      <c r="Q6" s="16"/>
      <c r="R6" s="16"/>
    </row>
    <row r="7" spans="1:19" x14ac:dyDescent="0.2">
      <c r="E7" s="7" t="s">
        <v>13</v>
      </c>
      <c r="G7" s="7"/>
      <c r="J7" s="254" t="s">
        <v>15</v>
      </c>
      <c r="K7" s="254"/>
      <c r="L7" s="261"/>
      <c r="M7" s="261"/>
      <c r="N7" s="261"/>
      <c r="O7" s="261"/>
      <c r="P7" s="261"/>
      <c r="Q7" s="261"/>
      <c r="R7" s="261"/>
    </row>
    <row r="8" spans="1:19" x14ac:dyDescent="0.2">
      <c r="B8" s="3" t="s">
        <v>30</v>
      </c>
      <c r="C8" s="3" t="s">
        <v>1</v>
      </c>
      <c r="D8" s="30" t="s">
        <v>5</v>
      </c>
      <c r="E8" s="3" t="s">
        <v>6</v>
      </c>
      <c r="F8" s="188" t="s">
        <v>37</v>
      </c>
      <c r="G8" s="188" t="s">
        <v>38</v>
      </c>
      <c r="H8" s="188" t="s">
        <v>101</v>
      </c>
      <c r="J8" s="256" t="s">
        <v>11</v>
      </c>
      <c r="K8" s="257" t="s">
        <v>30</v>
      </c>
      <c r="L8" s="256" t="s">
        <v>1</v>
      </c>
      <c r="M8" s="256" t="s">
        <v>2</v>
      </c>
      <c r="N8" s="256" t="s">
        <v>16</v>
      </c>
      <c r="O8" s="256" t="s">
        <v>17</v>
      </c>
      <c r="P8" s="256" t="s">
        <v>18</v>
      </c>
      <c r="Q8" s="256" t="s">
        <v>19</v>
      </c>
      <c r="R8" s="256" t="s">
        <v>20</v>
      </c>
    </row>
    <row r="9" spans="1:19" ht="23.25" thickBot="1" x14ac:dyDescent="0.25">
      <c r="B9" s="26" t="s">
        <v>31</v>
      </c>
      <c r="C9" s="26" t="s">
        <v>42</v>
      </c>
      <c r="D9" s="26" t="s">
        <v>32</v>
      </c>
      <c r="E9" s="26" t="s">
        <v>33</v>
      </c>
      <c r="F9" s="26" t="s">
        <v>39</v>
      </c>
      <c r="G9" s="26" t="s">
        <v>118</v>
      </c>
      <c r="H9" s="26" t="s">
        <v>117</v>
      </c>
      <c r="J9" s="258" t="s">
        <v>41</v>
      </c>
      <c r="K9" s="258" t="s">
        <v>31</v>
      </c>
      <c r="L9" s="258" t="s">
        <v>21</v>
      </c>
      <c r="M9" s="258" t="s">
        <v>22</v>
      </c>
      <c r="N9" s="258" t="s">
        <v>23</v>
      </c>
      <c r="O9" s="258" t="s">
        <v>24</v>
      </c>
      <c r="P9" s="258" t="s">
        <v>46</v>
      </c>
      <c r="Q9" s="258" t="s">
        <v>45</v>
      </c>
      <c r="R9" s="258" t="s">
        <v>25</v>
      </c>
    </row>
    <row r="10" spans="1:19" ht="13.5" thickBot="1" x14ac:dyDescent="0.25">
      <c r="B10" s="26"/>
      <c r="C10" s="26" t="s">
        <v>115</v>
      </c>
      <c r="D10" s="24"/>
      <c r="E10" s="24"/>
      <c r="F10" s="24" t="str">
        <f>$E$2</f>
        <v>PJ</v>
      </c>
      <c r="G10" s="24" t="str">
        <f>$F$2&amp;"/"&amp;$E$2</f>
        <v>M€2005/PJ</v>
      </c>
      <c r="H10" s="24" t="str">
        <f>$E$2</f>
        <v>PJ</v>
      </c>
      <c r="J10" s="258" t="s">
        <v>104</v>
      </c>
      <c r="K10" s="262"/>
      <c r="L10" s="262"/>
      <c r="M10" s="262"/>
      <c r="N10" s="262"/>
      <c r="O10" s="262"/>
      <c r="P10" s="262"/>
      <c r="Q10" s="262"/>
      <c r="R10" s="262"/>
    </row>
    <row r="11" spans="1:19" x14ac:dyDescent="0.2">
      <c r="B11" s="9" t="s">
        <v>189</v>
      </c>
      <c r="C11" s="16" t="str">
        <f>L11</f>
        <v>MINCOA1</v>
      </c>
      <c r="D11" s="16"/>
      <c r="E11" s="16" t="str">
        <f>$L$5</f>
        <v>COA</v>
      </c>
      <c r="F11" s="159">
        <v>80000</v>
      </c>
      <c r="G11" s="161">
        <v>2</v>
      </c>
      <c r="H11" s="154">
        <f>'EB1'!$D$5*'EB1'!D37</f>
        <v>6073.7685000000001</v>
      </c>
      <c r="I11" s="9"/>
      <c r="J11" s="259" t="str">
        <f>EnergyBalance!$B$5</f>
        <v>MIN</v>
      </c>
      <c r="K11" s="260" t="s">
        <v>189</v>
      </c>
      <c r="L11" s="260" t="str">
        <f>$J$11&amp;$C$2&amp;1</f>
        <v>MINCOA1</v>
      </c>
      <c r="M11" s="263" t="str">
        <f>"Domestic Supply of "&amp;$D$2&amp; " Step "&amp;RIGHT(L11,1)</f>
        <v>Domestic Supply of Solid Fuels Step 1</v>
      </c>
      <c r="N11" s="260" t="str">
        <f>$E$2</f>
        <v>PJ</v>
      </c>
      <c r="O11" s="260"/>
      <c r="P11" s="260"/>
      <c r="Q11" s="260"/>
      <c r="R11" s="260"/>
    </row>
    <row r="12" spans="1:19" s="9" customFormat="1" x14ac:dyDescent="0.2">
      <c r="B12" s="9" t="s">
        <v>189</v>
      </c>
      <c r="C12" s="16" t="str">
        <f>L12</f>
        <v>MINCOA2</v>
      </c>
      <c r="D12" s="16"/>
      <c r="E12" s="16" t="str">
        <f>$L$5</f>
        <v>COA</v>
      </c>
      <c r="F12" s="159">
        <v>160000</v>
      </c>
      <c r="G12" s="161">
        <v>2.5</v>
      </c>
      <c r="H12" s="154">
        <f>'EB1'!$D$5*'EB1'!D38</f>
        <v>2024.5895</v>
      </c>
      <c r="J12" s="260"/>
      <c r="K12" s="260" t="s">
        <v>189</v>
      </c>
      <c r="L12" s="260" t="str">
        <f>$J$11&amp;$C$2&amp;2</f>
        <v>MINCOA2</v>
      </c>
      <c r="M12" s="263" t="str">
        <f>"Domestic Supply of "&amp;$D$2&amp; " Step "&amp;RIGHT(L12,1)</f>
        <v>Domestic Supply of Solid Fuels Step 2</v>
      </c>
      <c r="N12" s="260" t="str">
        <f>$E$2</f>
        <v>PJ</v>
      </c>
      <c r="O12" s="260"/>
      <c r="P12" s="260"/>
      <c r="Q12" s="260"/>
      <c r="R12" s="260"/>
    </row>
    <row r="13" spans="1:19" s="9" customFormat="1" x14ac:dyDescent="0.2">
      <c r="B13" s="9" t="s">
        <v>189</v>
      </c>
      <c r="C13" s="16" t="str">
        <f>L13</f>
        <v>MINCOA3</v>
      </c>
      <c r="D13" s="16"/>
      <c r="E13" s="16" t="str">
        <f>$L$5</f>
        <v>COA</v>
      </c>
      <c r="F13" s="159">
        <v>320000</v>
      </c>
      <c r="G13" s="161">
        <v>3</v>
      </c>
      <c r="H13" s="161"/>
      <c r="J13" s="260"/>
      <c r="K13" s="260" t="s">
        <v>189</v>
      </c>
      <c r="L13" s="260" t="str">
        <f>$J$11&amp;$C$2&amp;3</f>
        <v>MINCOA3</v>
      </c>
      <c r="M13" s="263" t="str">
        <f>"Domestic Supply of "&amp;$D$2&amp; " Step "&amp;RIGHT(L13,1)</f>
        <v>Domestic Supply of Solid Fuels Step 3</v>
      </c>
      <c r="N13" s="260" t="str">
        <f>$E$2</f>
        <v>PJ</v>
      </c>
      <c r="O13" s="260"/>
      <c r="P13" s="260"/>
      <c r="Q13" s="260"/>
      <c r="R13" s="260"/>
    </row>
    <row r="14" spans="1:19" s="9" customFormat="1" x14ac:dyDescent="0.2">
      <c r="A14"/>
      <c r="B14" s="9" t="s">
        <v>189</v>
      </c>
      <c r="C14" s="16" t="str">
        <f>L14</f>
        <v>IMPCOA1</v>
      </c>
      <c r="D14" s="16"/>
      <c r="E14" s="16" t="str">
        <f>$L$5</f>
        <v>COA</v>
      </c>
      <c r="F14" s="15"/>
      <c r="G14" s="161">
        <v>2.75</v>
      </c>
      <c r="H14" s="161"/>
      <c r="J14" s="260" t="str">
        <f>EnergyBalance!$B$6</f>
        <v>IMP</v>
      </c>
      <c r="K14" s="260" t="s">
        <v>189</v>
      </c>
      <c r="L14" s="260" t="str">
        <f>$J$14&amp;$C$2&amp;1</f>
        <v>IMPCOA1</v>
      </c>
      <c r="M14" s="263" t="str">
        <f>"Import of "&amp;$D$2&amp; " Step "&amp;RIGHT(L14,1)</f>
        <v>Import of Solid Fuels Step 1</v>
      </c>
      <c r="N14" s="260" t="str">
        <f>$E$2</f>
        <v>PJ</v>
      </c>
      <c r="O14" s="260"/>
      <c r="P14" s="260"/>
      <c r="Q14" s="260"/>
      <c r="R14" s="260"/>
    </row>
    <row r="15" spans="1:19" x14ac:dyDescent="0.2">
      <c r="B15" s="9" t="s">
        <v>189</v>
      </c>
      <c r="C15" s="16" t="str">
        <f>L15</f>
        <v>EXPCOA1</v>
      </c>
      <c r="D15" s="16" t="str">
        <f>$L$5</f>
        <v>COA</v>
      </c>
      <c r="E15" s="16"/>
      <c r="G15" s="161">
        <v>2.75</v>
      </c>
      <c r="H15" s="155">
        <f>-EnergyBalance!D7</f>
        <v>1147.069</v>
      </c>
      <c r="J15" s="260" t="str">
        <f>EnergyBalance!B7</f>
        <v>EXP</v>
      </c>
      <c r="K15" s="260" t="s">
        <v>189</v>
      </c>
      <c r="L15" s="260" t="str">
        <f>$J$15&amp;$C$2&amp;1</f>
        <v>EXPCOA1</v>
      </c>
      <c r="M15" s="263" t="str">
        <f>"Export of "&amp;$D$2&amp; " Step "&amp;RIGHT(L15,1)</f>
        <v>Export of Solid Fuels Step 1</v>
      </c>
      <c r="N15" s="260" t="str">
        <f>$E$2</f>
        <v>PJ</v>
      </c>
      <c r="O15" s="260"/>
      <c r="P15" s="260"/>
      <c r="Q15" s="260"/>
      <c r="R15" s="260"/>
      <c r="S15" s="9"/>
    </row>
    <row r="16" spans="1:19" x14ac:dyDescent="0.2">
      <c r="A16" s="9"/>
      <c r="B16" s="9"/>
      <c r="C16" s="16"/>
      <c r="D16" s="16"/>
      <c r="E16" s="16"/>
      <c r="G16" s="44"/>
      <c r="J16" s="9"/>
      <c r="K16" s="9"/>
      <c r="L16" s="9"/>
      <c r="M16" s="9"/>
      <c r="N16" s="9"/>
      <c r="O16" s="9"/>
      <c r="P16" s="9"/>
      <c r="Q16" s="9"/>
      <c r="R16" s="9"/>
    </row>
    <row r="17" spans="1:19" x14ac:dyDescent="0.2">
      <c r="A17" s="9"/>
      <c r="J17" s="9"/>
      <c r="K17" s="9"/>
      <c r="L17" s="9"/>
      <c r="M17" s="9"/>
      <c r="N17" s="9"/>
      <c r="O17" s="9"/>
      <c r="P17" s="9"/>
      <c r="Q17" s="9"/>
      <c r="R17" s="9"/>
    </row>
    <row r="18" spans="1:19" s="9" customFormat="1" x14ac:dyDescent="0.2">
      <c r="A18"/>
      <c r="S18"/>
    </row>
    <row r="19" spans="1:19" s="9" customFormat="1" x14ac:dyDescent="0.2">
      <c r="A19"/>
      <c r="B19" s="1"/>
      <c r="C19" s="16"/>
      <c r="D19" s="16"/>
      <c r="F19" s="15"/>
      <c r="G19"/>
    </row>
    <row r="20" spans="1:19" s="9" customFormat="1" x14ac:dyDescent="0.2">
      <c r="A20"/>
      <c r="B20"/>
      <c r="C20"/>
      <c r="D20"/>
      <c r="E20"/>
      <c r="F20"/>
      <c r="G20"/>
      <c r="H20"/>
    </row>
    <row r="21" spans="1:19" s="9" customFormat="1" x14ac:dyDescent="0.2">
      <c r="A21"/>
      <c r="B21"/>
      <c r="C21"/>
      <c r="D21"/>
      <c r="E21"/>
      <c r="F21"/>
      <c r="G21"/>
      <c r="H21"/>
    </row>
    <row r="22" spans="1:19" x14ac:dyDescent="0.2">
      <c r="A22" s="9"/>
      <c r="B22" s="159"/>
      <c r="C22" s="1" t="s">
        <v>199</v>
      </c>
      <c r="I22" s="9"/>
    </row>
    <row r="23" spans="1:19" x14ac:dyDescent="0.2">
      <c r="A23" s="9"/>
      <c r="B23" s="156"/>
      <c r="C23" s="1" t="s">
        <v>200</v>
      </c>
      <c r="I23" s="9"/>
    </row>
    <row r="24" spans="1:19" x14ac:dyDescent="0.2">
      <c r="A24" s="9"/>
      <c r="S24" s="1"/>
    </row>
    <row r="25" spans="1:19" x14ac:dyDescent="0.2">
      <c r="A25" s="9"/>
    </row>
    <row r="26" spans="1:19" s="9" customFormat="1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s="9" customFormat="1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9" s="9" customFormat="1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9" s="9" customFormat="1" x14ac:dyDescent="0.2">
      <c r="A29"/>
      <c r="B29"/>
      <c r="C29"/>
      <c r="D29"/>
      <c r="E29"/>
      <c r="F29"/>
      <c r="G29"/>
      <c r="H29"/>
      <c r="I29"/>
    </row>
    <row r="30" spans="1:19" s="9" customFormat="1" x14ac:dyDescent="0.2">
      <c r="A30"/>
      <c r="B30"/>
      <c r="C30"/>
      <c r="D30"/>
      <c r="E30"/>
      <c r="F30"/>
      <c r="G30"/>
      <c r="H30"/>
      <c r="I30"/>
    </row>
    <row r="31" spans="1:19" s="9" customFormat="1" x14ac:dyDescent="0.2">
      <c r="A31"/>
      <c r="B31"/>
      <c r="C31"/>
      <c r="D31"/>
      <c r="E31"/>
      <c r="F31"/>
      <c r="G31"/>
      <c r="H31"/>
      <c r="I31"/>
    </row>
    <row r="32" spans="1:19" s="9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9:19" x14ac:dyDescent="0.2">
      <c r="S33" s="9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0"/>
  <sheetViews>
    <sheetView zoomScaleNormal="100" workbookViewId="0">
      <selection activeCell="F44" sqref="F44"/>
    </sheetView>
  </sheetViews>
  <sheetFormatPr defaultRowHeight="12.75" x14ac:dyDescent="0.2"/>
  <cols>
    <col min="1" max="1" width="2" bestFit="1" customWidth="1"/>
    <col min="2" max="2" width="11.5703125" bestFit="1" customWidth="1"/>
    <col min="3" max="3" width="11.7109375" customWidth="1"/>
    <col min="4" max="4" width="12" bestFit="1" customWidth="1"/>
    <col min="5" max="5" width="11.140625" bestFit="1" customWidth="1"/>
    <col min="6" max="6" width="14.140625" customWidth="1"/>
    <col min="7" max="7" width="8.42578125" bestFit="1" customWidth="1"/>
    <col min="8" max="8" width="14.140625" customWidth="1"/>
    <col min="9" max="9" width="2" customWidth="1"/>
    <col min="10" max="10" width="13.7109375" customWidth="1"/>
    <col min="11" max="11" width="7.140625" customWidth="1"/>
    <col min="12" max="12" width="11.42578125" bestFit="1" customWidth="1"/>
    <col min="13" max="13" width="35" bestFit="1" customWidth="1"/>
    <col min="14" max="14" width="6.7109375" customWidth="1"/>
    <col min="15" max="15" width="11.5703125" customWidth="1"/>
    <col min="16" max="16" width="13" customWidth="1"/>
    <col min="17" max="17" width="15.140625" customWidth="1"/>
    <col min="18" max="18" width="7.5703125" bestFit="1" customWidth="1"/>
  </cols>
  <sheetData>
    <row r="1" spans="1:19" ht="30" x14ac:dyDescent="0.25">
      <c r="B1" s="43" t="s">
        <v>94</v>
      </c>
      <c r="C1" s="43" t="s">
        <v>95</v>
      </c>
      <c r="D1" s="43" t="s">
        <v>96</v>
      </c>
      <c r="E1" s="43" t="s">
        <v>98</v>
      </c>
      <c r="F1" s="43" t="s">
        <v>99</v>
      </c>
    </row>
    <row r="2" spans="1:19" ht="15.75" x14ac:dyDescent="0.25">
      <c r="B2" s="20"/>
      <c r="C2" s="20" t="str">
        <f>EnergyBalance!E2</f>
        <v>GAS</v>
      </c>
      <c r="D2" s="20" t="str">
        <f>EnergyBalance!E3</f>
        <v>Natural Gas</v>
      </c>
      <c r="E2" s="20" t="str">
        <f>EnergyBalance!R2</f>
        <v>PJ</v>
      </c>
      <c r="F2" s="20" t="str">
        <f>EnergyBalance!Q2</f>
        <v>M€2005</v>
      </c>
      <c r="J2" s="254" t="s">
        <v>14</v>
      </c>
      <c r="K2" s="254"/>
      <c r="L2" s="255"/>
      <c r="M2" s="255"/>
      <c r="N2" s="255"/>
      <c r="O2" s="255"/>
      <c r="P2" s="255"/>
      <c r="Q2" s="255"/>
      <c r="R2" s="255"/>
    </row>
    <row r="3" spans="1:19" x14ac:dyDescent="0.2">
      <c r="J3" s="256" t="s">
        <v>7</v>
      </c>
      <c r="K3" s="257" t="s">
        <v>30</v>
      </c>
      <c r="L3" s="256" t="s">
        <v>0</v>
      </c>
      <c r="M3" s="256" t="s">
        <v>3</v>
      </c>
      <c r="N3" s="256" t="s">
        <v>4</v>
      </c>
      <c r="O3" s="256" t="s">
        <v>8</v>
      </c>
      <c r="P3" s="256" t="s">
        <v>9</v>
      </c>
      <c r="Q3" s="256" t="s">
        <v>10</v>
      </c>
      <c r="R3" s="256" t="s">
        <v>12</v>
      </c>
    </row>
    <row r="4" spans="1:19" ht="23.25" thickBot="1" x14ac:dyDescent="0.25">
      <c r="C4" s="1"/>
      <c r="J4" s="258" t="s">
        <v>40</v>
      </c>
      <c r="K4" s="258" t="s">
        <v>31</v>
      </c>
      <c r="L4" s="258" t="s">
        <v>26</v>
      </c>
      <c r="M4" s="258" t="s">
        <v>27</v>
      </c>
      <c r="N4" s="258" t="s">
        <v>4</v>
      </c>
      <c r="O4" s="258" t="s">
        <v>43</v>
      </c>
      <c r="P4" s="258" t="s">
        <v>44</v>
      </c>
      <c r="Q4" s="258" t="s">
        <v>28</v>
      </c>
      <c r="R4" s="258" t="s">
        <v>29</v>
      </c>
    </row>
    <row r="5" spans="1:19" x14ac:dyDescent="0.2">
      <c r="J5" s="259" t="s">
        <v>93</v>
      </c>
      <c r="K5" s="260"/>
      <c r="L5" s="259" t="str">
        <f>C2</f>
        <v>GAS</v>
      </c>
      <c r="M5" s="259" t="str">
        <f>D2</f>
        <v>Natural Gas</v>
      </c>
      <c r="N5" s="259" t="str">
        <f>$E$2</f>
        <v>PJ</v>
      </c>
      <c r="O5" s="259"/>
      <c r="P5" s="259"/>
      <c r="Q5" s="259"/>
      <c r="R5" s="259"/>
    </row>
    <row r="7" spans="1:19" x14ac:dyDescent="0.2">
      <c r="E7" s="7" t="s">
        <v>13</v>
      </c>
      <c r="G7" s="7"/>
      <c r="J7" s="254" t="s">
        <v>15</v>
      </c>
      <c r="K7" s="254"/>
      <c r="L7" s="261"/>
      <c r="M7" s="261"/>
      <c r="N7" s="261"/>
      <c r="O7" s="261"/>
      <c r="P7" s="261"/>
      <c r="Q7" s="261"/>
      <c r="R7" s="261"/>
    </row>
    <row r="8" spans="1:19" x14ac:dyDescent="0.2">
      <c r="B8" s="3" t="s">
        <v>30</v>
      </c>
      <c r="C8" s="3" t="s">
        <v>1</v>
      </c>
      <c r="D8" s="30" t="s">
        <v>5</v>
      </c>
      <c r="E8" s="3" t="s">
        <v>6</v>
      </c>
      <c r="F8" s="188" t="s">
        <v>37</v>
      </c>
      <c r="G8" s="188" t="s">
        <v>38</v>
      </c>
      <c r="H8" s="188" t="s">
        <v>101</v>
      </c>
      <c r="J8" s="256" t="s">
        <v>11</v>
      </c>
      <c r="K8" s="257" t="s">
        <v>30</v>
      </c>
      <c r="L8" s="256" t="s">
        <v>1</v>
      </c>
      <c r="M8" s="256" t="s">
        <v>2</v>
      </c>
      <c r="N8" s="256" t="s">
        <v>16</v>
      </c>
      <c r="O8" s="256" t="s">
        <v>17</v>
      </c>
      <c r="P8" s="256" t="s">
        <v>18</v>
      </c>
      <c r="Q8" s="256" t="s">
        <v>19</v>
      </c>
      <c r="R8" s="256" t="s">
        <v>20</v>
      </c>
    </row>
    <row r="9" spans="1:19" s="9" customFormat="1" ht="23.25" thickBot="1" x14ac:dyDescent="0.25">
      <c r="B9" s="26" t="s">
        <v>31</v>
      </c>
      <c r="C9" s="26" t="s">
        <v>42</v>
      </c>
      <c r="D9" s="26" t="s">
        <v>32</v>
      </c>
      <c r="E9" s="26" t="s">
        <v>33</v>
      </c>
      <c r="F9" s="26" t="s">
        <v>39</v>
      </c>
      <c r="G9" s="26" t="s">
        <v>118</v>
      </c>
      <c r="H9" s="26" t="s">
        <v>117</v>
      </c>
      <c r="J9" s="258" t="s">
        <v>41</v>
      </c>
      <c r="K9" s="258" t="s">
        <v>31</v>
      </c>
      <c r="L9" s="258" t="s">
        <v>21</v>
      </c>
      <c r="M9" s="258" t="s">
        <v>22</v>
      </c>
      <c r="N9" s="258" t="s">
        <v>23</v>
      </c>
      <c r="O9" s="258" t="s">
        <v>24</v>
      </c>
      <c r="P9" s="258" t="s">
        <v>46</v>
      </c>
      <c r="Q9" s="258" t="s">
        <v>45</v>
      </c>
      <c r="R9" s="258" t="s">
        <v>25</v>
      </c>
    </row>
    <row r="10" spans="1:19" s="9" customFormat="1" ht="13.5" thickBot="1" x14ac:dyDescent="0.25">
      <c r="B10" s="26"/>
      <c r="C10" s="26" t="s">
        <v>115</v>
      </c>
      <c r="D10" s="24"/>
      <c r="E10" s="24"/>
      <c r="F10" s="24" t="str">
        <f>$E$2</f>
        <v>PJ</v>
      </c>
      <c r="G10" s="24" t="str">
        <f>$F$2&amp;"/"&amp;$E$2</f>
        <v>M€2005/PJ</v>
      </c>
      <c r="H10" s="24" t="str">
        <f>$E$2</f>
        <v>PJ</v>
      </c>
      <c r="J10" s="258" t="s">
        <v>104</v>
      </c>
      <c r="K10" s="262"/>
      <c r="L10" s="262"/>
      <c r="M10" s="262"/>
      <c r="N10" s="262"/>
      <c r="O10" s="262"/>
      <c r="P10" s="262"/>
      <c r="Q10" s="262"/>
      <c r="R10" s="262"/>
    </row>
    <row r="11" spans="1:19" s="9" customFormat="1" x14ac:dyDescent="0.2">
      <c r="B11" s="9" t="s">
        <v>190</v>
      </c>
      <c r="C11" s="16" t="str">
        <f>L11</f>
        <v>MINGAS1</v>
      </c>
      <c r="D11" s="16"/>
      <c r="E11" s="16" t="str">
        <f>$L$5</f>
        <v>GAS</v>
      </c>
      <c r="F11" s="159">
        <v>15000</v>
      </c>
      <c r="G11" s="161">
        <v>3.6</v>
      </c>
      <c r="H11" s="154">
        <f>'EB2'!$E$5*'EB2'!E37</f>
        <v>3949.7485000000001</v>
      </c>
      <c r="J11" s="259" t="str">
        <f>EnergyBalance!$B$5</f>
        <v>MIN</v>
      </c>
      <c r="K11" s="260" t="s">
        <v>190</v>
      </c>
      <c r="L11" s="260" t="str">
        <f>$J$11&amp;$C$2&amp;1</f>
        <v>MINGAS1</v>
      </c>
      <c r="M11" s="263" t="str">
        <f>"Domestic Supply of "&amp;$D$2&amp; " Step "&amp;RIGHT(L11,1)</f>
        <v>Domestic Supply of Natural Gas Step 1</v>
      </c>
      <c r="N11" s="260" t="str">
        <f>$E$2</f>
        <v>PJ</v>
      </c>
      <c r="O11" s="260"/>
      <c r="P11" s="260"/>
      <c r="Q11" s="260"/>
      <c r="R11" s="260"/>
    </row>
    <row r="12" spans="1:19" x14ac:dyDescent="0.2">
      <c r="B12" s="9" t="s">
        <v>190</v>
      </c>
      <c r="C12" s="16" t="str">
        <f>L12</f>
        <v>MINGAS2</v>
      </c>
      <c r="D12" s="16"/>
      <c r="E12" s="16" t="str">
        <f>$L$5</f>
        <v>GAS</v>
      </c>
      <c r="F12" s="159">
        <v>20000</v>
      </c>
      <c r="G12" s="161">
        <v>4.1399999999999997</v>
      </c>
      <c r="H12" s="154">
        <f>'EB2'!$E$5*'EB2'!E38</f>
        <v>3949.7485000000001</v>
      </c>
      <c r="I12" s="9"/>
      <c r="J12" s="260"/>
      <c r="K12" s="260" t="s">
        <v>190</v>
      </c>
      <c r="L12" s="260" t="str">
        <f>$J$11&amp;$C$2&amp;2</f>
        <v>MINGAS2</v>
      </c>
      <c r="M12" s="263" t="str">
        <f>"Domestic Supply of "&amp;$D$2&amp; " Step "&amp;RIGHT(L12,1)</f>
        <v>Domestic Supply of Natural Gas Step 2</v>
      </c>
      <c r="N12" s="260" t="str">
        <f>$E$2</f>
        <v>PJ</v>
      </c>
      <c r="O12" s="260"/>
      <c r="P12" s="260"/>
      <c r="Q12" s="260"/>
      <c r="R12" s="260"/>
      <c r="S12" s="9"/>
    </row>
    <row r="13" spans="1:19" x14ac:dyDescent="0.2">
      <c r="A13" s="9"/>
      <c r="B13" s="9" t="s">
        <v>190</v>
      </c>
      <c r="C13" s="16" t="str">
        <f>L13</f>
        <v>MINGAS3</v>
      </c>
      <c r="D13" s="16"/>
      <c r="E13" s="16" t="str">
        <f>$L$5</f>
        <v>GAS</v>
      </c>
      <c r="F13" s="159">
        <v>30000</v>
      </c>
      <c r="G13" s="161">
        <v>5.4</v>
      </c>
      <c r="H13" s="161"/>
      <c r="J13" s="260"/>
      <c r="K13" s="260" t="s">
        <v>190</v>
      </c>
      <c r="L13" s="260" t="str">
        <f>$J$11&amp;$C$2&amp;3</f>
        <v>MINGAS3</v>
      </c>
      <c r="M13" s="263" t="str">
        <f>"Domestic Supply of "&amp;$D$2&amp; " Step "&amp;RIGHT(L13,1)</f>
        <v>Domestic Supply of Natural Gas Step 3</v>
      </c>
      <c r="N13" s="260" t="str">
        <f>$E$2</f>
        <v>PJ</v>
      </c>
      <c r="O13" s="260"/>
      <c r="P13" s="260"/>
      <c r="Q13" s="260"/>
      <c r="R13" s="260"/>
    </row>
    <row r="14" spans="1:19" x14ac:dyDescent="0.2">
      <c r="A14" s="9"/>
      <c r="B14" s="9" t="s">
        <v>190</v>
      </c>
      <c r="C14" s="16" t="str">
        <f>L14</f>
        <v>IMPGAS1</v>
      </c>
      <c r="D14" s="16"/>
      <c r="E14" s="16" t="str">
        <f>$L$5</f>
        <v>GAS</v>
      </c>
      <c r="F14" s="15"/>
      <c r="G14" s="161">
        <v>4.5</v>
      </c>
      <c r="H14" s="161"/>
      <c r="J14" s="260" t="str">
        <f>EnergyBalance!$B$6</f>
        <v>IMP</v>
      </c>
      <c r="K14" s="260" t="s">
        <v>190</v>
      </c>
      <c r="L14" s="260" t="str">
        <f>$J$14&amp;$C$2&amp;1</f>
        <v>IMPGAS1</v>
      </c>
      <c r="M14" s="263" t="str">
        <f>"Import of "&amp;$D$2&amp; " Step "&amp;RIGHT(L14,1)</f>
        <v>Import of Natural Gas Step 1</v>
      </c>
      <c r="N14" s="260" t="str">
        <f>$E$2</f>
        <v>PJ</v>
      </c>
      <c r="O14" s="260"/>
      <c r="P14" s="260"/>
      <c r="Q14" s="260"/>
      <c r="R14" s="260"/>
    </row>
    <row r="15" spans="1:19" s="9" customFormat="1" x14ac:dyDescent="0.2">
      <c r="B15"/>
      <c r="C15" s="16" t="str">
        <f>L15</f>
        <v>EXPGAS1</v>
      </c>
      <c r="D15" s="16" t="str">
        <f>$L$5</f>
        <v>GAS</v>
      </c>
      <c r="E15" s="16"/>
      <c r="F15" s="15"/>
      <c r="G15" s="161">
        <v>4.5</v>
      </c>
      <c r="H15" s="44"/>
      <c r="I15"/>
      <c r="J15" s="260" t="str">
        <f>EnergyBalance!B7</f>
        <v>EXP</v>
      </c>
      <c r="K15" s="260"/>
      <c r="L15" s="260" t="str">
        <f>$J$15&amp;$C$2&amp;1</f>
        <v>EXPGAS1</v>
      </c>
      <c r="M15" s="263" t="str">
        <f>"Export of "&amp;$D$2&amp; " Step "&amp;RIGHT(L15,1)</f>
        <v>Export of Natural Gas Step 1</v>
      </c>
      <c r="N15" s="260" t="str">
        <f>$E$2</f>
        <v>PJ</v>
      </c>
      <c r="O15" s="260"/>
      <c r="P15" s="260"/>
      <c r="Q15" s="260"/>
      <c r="R15" s="260"/>
      <c r="S15"/>
    </row>
    <row r="16" spans="1:19" s="9" customFormat="1" x14ac:dyDescent="0.2">
      <c r="A16"/>
      <c r="B16" s="176" t="s">
        <v>189</v>
      </c>
      <c r="H16" s="155">
        <f>-EnergyBalance!E7</f>
        <v>2516.3310000000001</v>
      </c>
    </row>
    <row r="17" spans="1:19" s="9" customFormat="1" x14ac:dyDescent="0.2">
      <c r="A17"/>
      <c r="B17" s="9" t="s">
        <v>190</v>
      </c>
      <c r="C17"/>
      <c r="D17"/>
      <c r="E17"/>
      <c r="F17"/>
      <c r="G17"/>
      <c r="H17" s="155">
        <f>-'EB2'!E7</f>
        <v>2516.3310000000001</v>
      </c>
    </row>
    <row r="18" spans="1:19" s="9" customFormat="1" x14ac:dyDescent="0.2"/>
    <row r="19" spans="1:19" s="9" customFormat="1" x14ac:dyDescent="0.2"/>
    <row r="20" spans="1:19" x14ac:dyDescent="0.2">
      <c r="A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/>
      <c r="H21" s="9"/>
      <c r="J21" s="9"/>
      <c r="K21" s="9"/>
      <c r="L21" s="9"/>
      <c r="M21" s="9"/>
      <c r="N21" s="9"/>
      <c r="O21" s="9"/>
      <c r="P21" s="9"/>
      <c r="Q21" s="9"/>
      <c r="R21" s="9"/>
    </row>
    <row r="22" spans="1:19" s="9" customFormat="1" x14ac:dyDescent="0.2">
      <c r="B22" s="159"/>
      <c r="C22" s="1" t="s">
        <v>199</v>
      </c>
      <c r="D22"/>
      <c r="E22"/>
      <c r="F22"/>
      <c r="G22"/>
      <c r="I22"/>
      <c r="J22"/>
      <c r="K22"/>
      <c r="L22"/>
      <c r="M22"/>
      <c r="N22"/>
      <c r="O22"/>
      <c r="P22"/>
      <c r="Q22"/>
      <c r="R22"/>
      <c r="S22"/>
    </row>
    <row r="23" spans="1:19" s="9" customFormat="1" x14ac:dyDescent="0.2">
      <c r="B23" s="156"/>
      <c r="C23" s="1" t="s">
        <v>200</v>
      </c>
      <c r="D23"/>
      <c r="E23"/>
      <c r="F23"/>
      <c r="G23"/>
      <c r="J23"/>
      <c r="K23"/>
      <c r="L23"/>
      <c r="M23"/>
      <c r="N23"/>
      <c r="O23"/>
      <c r="P23"/>
      <c r="Q23"/>
      <c r="R23"/>
    </row>
    <row r="24" spans="1:19" s="9" customFormat="1" x14ac:dyDescent="0.2">
      <c r="B24"/>
      <c r="C24"/>
      <c r="D24"/>
      <c r="E24"/>
      <c r="F24"/>
      <c r="G24"/>
      <c r="J24"/>
      <c r="K24"/>
      <c r="L24"/>
      <c r="M24"/>
      <c r="N24"/>
      <c r="O24"/>
      <c r="P24"/>
      <c r="Q24"/>
      <c r="R24"/>
    </row>
    <row r="25" spans="1:19" s="9" customFormat="1" x14ac:dyDescent="0.2">
      <c r="B25"/>
      <c r="C25"/>
      <c r="D25"/>
      <c r="E25"/>
      <c r="F25"/>
      <c r="G25"/>
      <c r="J25"/>
      <c r="K25"/>
      <c r="L25"/>
      <c r="M25"/>
      <c r="N25"/>
      <c r="O25"/>
      <c r="P25"/>
      <c r="Q25"/>
      <c r="R25"/>
    </row>
    <row r="26" spans="1:19" s="9" customFormat="1" x14ac:dyDescent="0.2">
      <c r="A26"/>
      <c r="B26"/>
      <c r="C26"/>
      <c r="D26"/>
      <c r="E26"/>
      <c r="F26"/>
      <c r="G26"/>
      <c r="J26"/>
      <c r="K26"/>
      <c r="L26"/>
      <c r="M26"/>
      <c r="N26"/>
      <c r="O26"/>
      <c r="P26"/>
      <c r="Q26"/>
      <c r="R26"/>
    </row>
    <row r="27" spans="1:19" s="9" customFormat="1" x14ac:dyDescent="0.2">
      <c r="A27"/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</row>
    <row r="28" spans="1:19" s="9" customFormat="1" x14ac:dyDescent="0.2">
      <c r="A28"/>
      <c r="B28"/>
      <c r="C28"/>
      <c r="D28"/>
      <c r="E28"/>
      <c r="F28"/>
      <c r="G28"/>
      <c r="H28"/>
      <c r="J28"/>
      <c r="K28"/>
      <c r="L28"/>
      <c r="M28"/>
      <c r="N28"/>
      <c r="O28"/>
      <c r="P28"/>
      <c r="Q28"/>
      <c r="R28"/>
    </row>
    <row r="29" spans="1:19" s="9" customFormat="1" x14ac:dyDescent="0.2">
      <c r="A29"/>
      <c r="B29"/>
      <c r="C29"/>
      <c r="D29"/>
      <c r="E29"/>
      <c r="F29"/>
      <c r="G29"/>
      <c r="H29"/>
      <c r="J29"/>
      <c r="K29"/>
      <c r="L29"/>
      <c r="M29"/>
      <c r="N29"/>
      <c r="O29"/>
      <c r="P29"/>
      <c r="Q29"/>
      <c r="R29"/>
    </row>
    <row r="30" spans="1:19" x14ac:dyDescent="0.2">
      <c r="I30" s="9"/>
      <c r="S30" s="9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31"/>
  <sheetViews>
    <sheetView zoomScaleNormal="100" workbookViewId="0">
      <selection activeCell="G36" sqref="G36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0.7109375" customWidth="1"/>
    <col min="5" max="5" width="11.140625" bestFit="1" customWidth="1"/>
    <col min="6" max="6" width="13.5703125" customWidth="1"/>
    <col min="7" max="7" width="8.42578125" bestFit="1" customWidth="1"/>
    <col min="8" max="8" width="13.85546875" customWidth="1"/>
    <col min="9" max="9" width="2" bestFit="1" customWidth="1"/>
    <col min="10" max="10" width="13.7109375" customWidth="1"/>
    <col min="11" max="11" width="7.140625" customWidth="1"/>
    <col min="12" max="12" width="11.42578125" bestFit="1" customWidth="1"/>
    <col min="13" max="13" width="51.85546875" bestFit="1" customWidth="1"/>
    <col min="14" max="14" width="6.5703125" customWidth="1"/>
    <col min="15" max="15" width="11.5703125" customWidth="1"/>
    <col min="16" max="16" width="13" customWidth="1"/>
    <col min="17" max="17" width="15.140625" customWidth="1"/>
    <col min="18" max="18" width="7.5703125" bestFit="1" customWidth="1"/>
  </cols>
  <sheetData>
    <row r="1" spans="2:24" ht="30" x14ac:dyDescent="0.25">
      <c r="B1" s="43" t="s">
        <v>94</v>
      </c>
      <c r="C1" s="43" t="s">
        <v>95</v>
      </c>
      <c r="D1" s="43" t="s">
        <v>96</v>
      </c>
      <c r="E1" s="43" t="s">
        <v>98</v>
      </c>
      <c r="F1" s="43" t="s">
        <v>99</v>
      </c>
    </row>
    <row r="2" spans="2:24" ht="15.75" x14ac:dyDescent="0.25">
      <c r="B2" s="20"/>
      <c r="C2" s="20" t="str">
        <f>EnergyBalance!F2</f>
        <v>OIL</v>
      </c>
      <c r="D2" s="20" t="str">
        <f>EnergyBalance!F3</f>
        <v>Crude Oil</v>
      </c>
      <c r="E2" s="20" t="str">
        <f>EnergyBalance!R2</f>
        <v>PJ</v>
      </c>
      <c r="F2" s="20" t="str">
        <f>EnergyBalance!Q2</f>
        <v>M€2005</v>
      </c>
      <c r="J2" s="254" t="s">
        <v>14</v>
      </c>
      <c r="K2" s="254"/>
      <c r="L2" s="255"/>
      <c r="M2" s="255"/>
      <c r="N2" s="255"/>
      <c r="O2" s="255"/>
      <c r="P2" s="255"/>
      <c r="Q2" s="255"/>
      <c r="R2" s="255"/>
    </row>
    <row r="3" spans="2:24" x14ac:dyDescent="0.2">
      <c r="J3" s="256" t="s">
        <v>7</v>
      </c>
      <c r="K3" s="257" t="s">
        <v>30</v>
      </c>
      <c r="L3" s="256" t="s">
        <v>0</v>
      </c>
      <c r="M3" s="256" t="s">
        <v>3</v>
      </c>
      <c r="N3" s="256" t="s">
        <v>4</v>
      </c>
      <c r="O3" s="256" t="s">
        <v>8</v>
      </c>
      <c r="P3" s="256" t="s">
        <v>9</v>
      </c>
      <c r="Q3" s="256" t="s">
        <v>10</v>
      </c>
      <c r="R3" s="256" t="s">
        <v>12</v>
      </c>
    </row>
    <row r="4" spans="2:24" ht="23.25" thickBot="1" x14ac:dyDescent="0.25">
      <c r="C4" s="1"/>
      <c r="J4" s="258" t="s">
        <v>40</v>
      </c>
      <c r="K4" s="258" t="s">
        <v>31</v>
      </c>
      <c r="L4" s="258" t="s">
        <v>26</v>
      </c>
      <c r="M4" s="258" t="s">
        <v>27</v>
      </c>
      <c r="N4" s="258" t="s">
        <v>4</v>
      </c>
      <c r="O4" s="258" t="s">
        <v>43</v>
      </c>
      <c r="P4" s="258" t="s">
        <v>44</v>
      </c>
      <c r="Q4" s="258" t="s">
        <v>28</v>
      </c>
      <c r="R4" s="258" t="s">
        <v>29</v>
      </c>
      <c r="U4" s="9"/>
      <c r="V4" s="9"/>
    </row>
    <row r="5" spans="2:24" x14ac:dyDescent="0.2">
      <c r="J5" s="259" t="s">
        <v>93</v>
      </c>
      <c r="K5" s="260"/>
      <c r="L5" s="259" t="str">
        <f>C2</f>
        <v>OIL</v>
      </c>
      <c r="M5" s="259" t="str">
        <f>D2</f>
        <v>Crude Oil</v>
      </c>
      <c r="N5" s="259" t="str">
        <f>$E$2</f>
        <v>PJ</v>
      </c>
      <c r="O5" s="259"/>
      <c r="P5" s="259"/>
      <c r="Q5" s="259"/>
      <c r="R5" s="259"/>
      <c r="T5" s="9"/>
      <c r="U5" s="9"/>
      <c r="V5" s="9"/>
      <c r="W5" s="9"/>
      <c r="X5" s="9"/>
    </row>
    <row r="6" spans="2:24" x14ac:dyDescent="0.2">
      <c r="T6" s="9"/>
      <c r="U6" s="9"/>
      <c r="V6" s="9"/>
      <c r="W6" s="9"/>
      <c r="X6" s="9"/>
    </row>
    <row r="7" spans="2:24" x14ac:dyDescent="0.2">
      <c r="E7" s="7" t="s">
        <v>13</v>
      </c>
      <c r="F7" s="189"/>
      <c r="G7" s="190"/>
      <c r="H7" s="189"/>
      <c r="J7" s="254" t="s">
        <v>15</v>
      </c>
      <c r="K7" s="254"/>
      <c r="L7" s="261"/>
      <c r="M7" s="261"/>
      <c r="N7" s="261"/>
      <c r="O7" s="261"/>
      <c r="P7" s="261"/>
      <c r="Q7" s="261"/>
      <c r="R7" s="261"/>
      <c r="W7" s="9"/>
      <c r="X7" s="9"/>
    </row>
    <row r="8" spans="2:24" x14ac:dyDescent="0.2">
      <c r="B8" s="3" t="s">
        <v>30</v>
      </c>
      <c r="C8" s="3" t="s">
        <v>1</v>
      </c>
      <c r="D8" s="30" t="s">
        <v>5</v>
      </c>
      <c r="E8" s="3" t="s">
        <v>6</v>
      </c>
      <c r="F8" s="188" t="s">
        <v>37</v>
      </c>
      <c r="G8" s="188" t="s">
        <v>38</v>
      </c>
      <c r="H8" s="188" t="s">
        <v>101</v>
      </c>
      <c r="J8" s="256" t="s">
        <v>11</v>
      </c>
      <c r="K8" s="257" t="s">
        <v>30</v>
      </c>
      <c r="L8" s="256" t="s">
        <v>1</v>
      </c>
      <c r="M8" s="256" t="s">
        <v>2</v>
      </c>
      <c r="N8" s="256" t="s">
        <v>16</v>
      </c>
      <c r="O8" s="256" t="s">
        <v>17</v>
      </c>
      <c r="P8" s="256" t="s">
        <v>18</v>
      </c>
      <c r="Q8" s="256" t="s">
        <v>19</v>
      </c>
      <c r="R8" s="256" t="s">
        <v>20</v>
      </c>
    </row>
    <row r="9" spans="2:24" ht="23.25" thickBot="1" x14ac:dyDescent="0.25">
      <c r="B9" s="26" t="s">
        <v>31</v>
      </c>
      <c r="C9" s="26" t="s">
        <v>42</v>
      </c>
      <c r="D9" s="26" t="s">
        <v>32</v>
      </c>
      <c r="E9" s="26" t="s">
        <v>33</v>
      </c>
      <c r="F9" s="26" t="s">
        <v>39</v>
      </c>
      <c r="G9" s="26" t="s">
        <v>118</v>
      </c>
      <c r="H9" s="26" t="s">
        <v>117</v>
      </c>
      <c r="I9" s="9"/>
      <c r="J9" s="258" t="s">
        <v>41</v>
      </c>
      <c r="K9" s="258" t="s">
        <v>31</v>
      </c>
      <c r="L9" s="258" t="s">
        <v>21</v>
      </c>
      <c r="M9" s="258" t="s">
        <v>22</v>
      </c>
      <c r="N9" s="258" t="s">
        <v>23</v>
      </c>
      <c r="O9" s="258" t="s">
        <v>24</v>
      </c>
      <c r="P9" s="258" t="s">
        <v>46</v>
      </c>
      <c r="Q9" s="258" t="s">
        <v>45</v>
      </c>
      <c r="R9" s="258" t="s">
        <v>25</v>
      </c>
    </row>
    <row r="10" spans="2:24" s="9" customFormat="1" ht="13.5" thickBot="1" x14ac:dyDescent="0.25">
      <c r="B10" s="26"/>
      <c r="C10" s="26" t="s">
        <v>115</v>
      </c>
      <c r="D10" s="24"/>
      <c r="E10" s="24"/>
      <c r="F10" s="24" t="str">
        <f>$E$2</f>
        <v>PJ</v>
      </c>
      <c r="G10" s="24" t="str">
        <f>$F$2&amp;"/"&amp;$E$2</f>
        <v>M€2005/PJ</v>
      </c>
      <c r="H10" s="24" t="str">
        <f>$E$2</f>
        <v>PJ</v>
      </c>
      <c r="J10" s="258" t="s">
        <v>104</v>
      </c>
      <c r="K10" s="262"/>
      <c r="L10" s="262"/>
      <c r="M10" s="262"/>
      <c r="N10" s="262"/>
      <c r="O10" s="262"/>
      <c r="P10" s="262"/>
      <c r="Q10" s="262"/>
      <c r="R10" s="262"/>
      <c r="S10"/>
      <c r="W10"/>
      <c r="X10"/>
    </row>
    <row r="11" spans="2:24" s="9" customFormat="1" x14ac:dyDescent="0.2">
      <c r="C11" s="16" t="str">
        <f>L11</f>
        <v>MINOIL1</v>
      </c>
      <c r="D11" s="16"/>
      <c r="E11" s="16" t="str">
        <f>$L$5</f>
        <v>OIL</v>
      </c>
      <c r="G11" s="161">
        <v>6.4</v>
      </c>
      <c r="J11" s="259" t="str">
        <f>EnergyBalance!$B$5</f>
        <v>MIN</v>
      </c>
      <c r="K11" s="260"/>
      <c r="L11" s="260" t="str">
        <f>$J$11&amp;$C$2&amp;1</f>
        <v>MINOIL1</v>
      </c>
      <c r="M11" s="264" t="str">
        <f>"Domestic Supply of "&amp;$D$2&amp; " Step "&amp;RIGHT(L11,1)</f>
        <v>Domestic Supply of Crude Oil Step 1</v>
      </c>
      <c r="N11" s="260" t="str">
        <f>$E$2</f>
        <v>PJ</v>
      </c>
      <c r="O11" s="260"/>
      <c r="P11" s="260"/>
      <c r="Q11" s="260"/>
      <c r="R11" s="260"/>
    </row>
    <row r="12" spans="2:24" s="9" customFormat="1" x14ac:dyDescent="0.2">
      <c r="B12" s="9" t="s">
        <v>189</v>
      </c>
      <c r="C12" s="16"/>
      <c r="D12" s="16"/>
      <c r="E12" s="16"/>
      <c r="F12" s="80">
        <f>24000*EnergyBalance!$Y$5</f>
        <v>7200</v>
      </c>
      <c r="G12" s="44"/>
      <c r="H12" s="155">
        <f>'EB1'!$F$5*'EB1'!F37</f>
        <v>1290.8428800000002</v>
      </c>
      <c r="J12" s="260"/>
      <c r="K12" s="260"/>
      <c r="L12" s="260" t="str">
        <f>$J$11&amp;$C$2&amp;2</f>
        <v>MINOIL2</v>
      </c>
      <c r="M12" s="264" t="str">
        <f>"Domestic Supply of "&amp;$D$2&amp; " Step "&amp;RIGHT(L12,1)</f>
        <v>Domestic Supply of Crude Oil Step 2</v>
      </c>
      <c r="N12" s="260" t="str">
        <f>$E$2</f>
        <v>PJ</v>
      </c>
      <c r="O12" s="260"/>
      <c r="P12" s="260"/>
      <c r="Q12" s="260"/>
      <c r="R12" s="260"/>
    </row>
    <row r="13" spans="2:24" x14ac:dyDescent="0.2">
      <c r="B13" s="9" t="s">
        <v>190</v>
      </c>
      <c r="C13" s="16"/>
      <c r="D13" s="16"/>
      <c r="E13" s="16"/>
      <c r="F13" s="80">
        <f>24000*(1-EnergyBalance!$Y$5)</f>
        <v>16800</v>
      </c>
      <c r="G13" s="44"/>
      <c r="H13" s="155">
        <f>'EB2'!$F$5*'EB2'!F37</f>
        <v>3011.9667199999999</v>
      </c>
      <c r="J13" s="260"/>
      <c r="K13" s="260"/>
      <c r="L13" s="260" t="str">
        <f>$J$11&amp;$C$2&amp;3</f>
        <v>MINOIL3</v>
      </c>
      <c r="M13" s="264" t="str">
        <f>"Domestic Supply of "&amp;$D$2&amp; " Step "&amp;RIGHT(L13,1)</f>
        <v>Domestic Supply of Crude Oil Step 3</v>
      </c>
      <c r="N13" s="260" t="str">
        <f>$E$2</f>
        <v>PJ</v>
      </c>
      <c r="O13" s="260"/>
      <c r="P13" s="260"/>
      <c r="Q13" s="260"/>
      <c r="R13" s="260"/>
      <c r="S13" s="9"/>
      <c r="T13" s="9"/>
      <c r="U13" s="9"/>
      <c r="V13" s="9"/>
      <c r="W13" s="9"/>
      <c r="X13" s="9"/>
    </row>
    <row r="14" spans="2:24" x14ac:dyDescent="0.2">
      <c r="B14" s="9"/>
      <c r="C14" s="16" t="str">
        <f>L12</f>
        <v>MINOIL2</v>
      </c>
      <c r="D14" s="16"/>
      <c r="E14" s="16" t="str">
        <f>$L$5</f>
        <v>OIL</v>
      </c>
      <c r="G14" s="161">
        <v>7.3599999999999994</v>
      </c>
      <c r="H14" s="14"/>
      <c r="J14" s="260" t="str">
        <f>EnergyBalance!$B$6</f>
        <v>IMP</v>
      </c>
      <c r="K14" s="260"/>
      <c r="L14" s="260" t="str">
        <f>$J$14&amp;$C$2&amp;1</f>
        <v>IMPOIL1</v>
      </c>
      <c r="M14" s="264" t="str">
        <f>"Import of "&amp;$D$2&amp; " Step "&amp;RIGHT(L14,1)</f>
        <v>Import of Crude Oil Step 1</v>
      </c>
      <c r="N14" s="260" t="str">
        <f>$E$2</f>
        <v>PJ</v>
      </c>
      <c r="O14" s="260"/>
      <c r="P14" s="260"/>
      <c r="Q14" s="260"/>
      <c r="R14" s="260"/>
      <c r="T14" s="9"/>
      <c r="U14" s="9"/>
      <c r="V14" s="9"/>
      <c r="W14" s="9"/>
      <c r="X14" s="9"/>
    </row>
    <row r="15" spans="2:24" x14ac:dyDescent="0.2">
      <c r="B15" s="9" t="s">
        <v>189</v>
      </c>
      <c r="C15" s="16"/>
      <c r="D15" s="16"/>
      <c r="E15" s="16"/>
      <c r="F15" s="80">
        <f>6000*EnergyBalance!$Y$5</f>
        <v>1800</v>
      </c>
      <c r="G15" s="44"/>
      <c r="H15" s="155">
        <f>'EB1'!$F$5*'EB1'!F38</f>
        <v>322.71072000000004</v>
      </c>
      <c r="J15" s="260" t="str">
        <f>EnergyBalance!B7</f>
        <v>EXP</v>
      </c>
      <c r="K15" s="260"/>
      <c r="L15" s="260" t="str">
        <f>$J$15&amp;$C$2&amp;1</f>
        <v>EXPOIL1</v>
      </c>
      <c r="M15" s="264" t="str">
        <f>"Export of "&amp;$D$2&amp; " Step "&amp;RIGHT(L15,1)</f>
        <v>Export of Crude Oil Step 1</v>
      </c>
      <c r="N15" s="260" t="str">
        <f>$E$2</f>
        <v>PJ</v>
      </c>
      <c r="O15" s="260"/>
      <c r="P15" s="260"/>
      <c r="Q15" s="260"/>
      <c r="R15" s="260"/>
      <c r="W15" s="9"/>
      <c r="X15" s="9"/>
    </row>
    <row r="16" spans="2:24" s="9" customFormat="1" x14ac:dyDescent="0.2">
      <c r="B16" s="9" t="s">
        <v>190</v>
      </c>
      <c r="C16" s="16"/>
      <c r="D16" s="16"/>
      <c r="E16" s="16"/>
      <c r="F16" s="80">
        <f>6000*(1-EnergyBalance!$Y$5)</f>
        <v>4200</v>
      </c>
      <c r="G16" s="44"/>
      <c r="H16" s="155">
        <f>'EB2'!$F$5*'EB2'!F38</f>
        <v>752.99167999999997</v>
      </c>
      <c r="S16"/>
      <c r="U16"/>
      <c r="V16"/>
      <c r="W16"/>
      <c r="X16"/>
    </row>
    <row r="17" spans="2:24" s="9" customFormat="1" x14ac:dyDescent="0.2">
      <c r="C17" s="16" t="str">
        <f>L13</f>
        <v>MINOIL3</v>
      </c>
      <c r="D17" s="16"/>
      <c r="E17" s="16" t="str">
        <f>$L$5</f>
        <v>OIL</v>
      </c>
      <c r="G17" s="161">
        <v>9.6000000000000014</v>
      </c>
      <c r="H17" s="22"/>
      <c r="T17"/>
      <c r="U17"/>
      <c r="V17"/>
      <c r="W17"/>
      <c r="X17"/>
    </row>
    <row r="18" spans="2:24" s="9" customFormat="1" x14ac:dyDescent="0.2">
      <c r="B18" s="9" t="s">
        <v>189</v>
      </c>
      <c r="C18" s="16"/>
      <c r="D18" s="16"/>
      <c r="E18" s="16"/>
      <c r="F18" s="80">
        <f>40000*(EnergyBalance!$Y$5)</f>
        <v>12000</v>
      </c>
      <c r="G18" s="44"/>
      <c r="H18" s="154"/>
      <c r="T18"/>
      <c r="U18" s="1"/>
      <c r="V18" s="1"/>
      <c r="W18"/>
      <c r="X18"/>
    </row>
    <row r="19" spans="2:24" s="9" customFormat="1" x14ac:dyDescent="0.2">
      <c r="B19" s="9" t="s">
        <v>190</v>
      </c>
      <c r="C19" s="16"/>
      <c r="D19" s="16"/>
      <c r="E19" s="16"/>
      <c r="F19" s="80">
        <f>40000*(1-EnergyBalance!$Y$5)</f>
        <v>28000</v>
      </c>
      <c r="G19" s="44"/>
      <c r="H19" s="154"/>
      <c r="T19" s="1"/>
      <c r="U19"/>
      <c r="V19"/>
      <c r="W19" s="1"/>
      <c r="X19" s="1"/>
    </row>
    <row r="20" spans="2:24" s="9" customFormat="1" x14ac:dyDescent="0.2">
      <c r="C20" s="16" t="str">
        <f>L14</f>
        <v>IMPOIL1</v>
      </c>
      <c r="D20" s="16"/>
      <c r="E20" s="16" t="str">
        <f>$L$5</f>
        <v>OIL</v>
      </c>
      <c r="F20" s="15"/>
      <c r="G20" s="161">
        <v>8</v>
      </c>
      <c r="T20"/>
      <c r="U20"/>
      <c r="V20"/>
      <c r="W20"/>
      <c r="X20"/>
    </row>
    <row r="21" spans="2:24" s="9" customFormat="1" x14ac:dyDescent="0.2">
      <c r="B21"/>
      <c r="C21" s="16" t="str">
        <f>L15</f>
        <v>EXPOIL1</v>
      </c>
      <c r="D21" s="16" t="str">
        <f>$L$5</f>
        <v>OIL</v>
      </c>
      <c r="E21" s="16"/>
      <c r="G21" s="161">
        <v>8</v>
      </c>
      <c r="I21"/>
      <c r="T21"/>
      <c r="U21"/>
      <c r="V21"/>
      <c r="W21"/>
      <c r="X21"/>
    </row>
    <row r="22" spans="2:24" s="9" customFormat="1" x14ac:dyDescent="0.2">
      <c r="B22" s="1" t="s">
        <v>189</v>
      </c>
      <c r="F22"/>
      <c r="H22" s="155">
        <f>-'EB1'!F7</f>
        <v>4449.1985999999997</v>
      </c>
      <c r="I22"/>
      <c r="J22"/>
      <c r="K22"/>
      <c r="L22"/>
      <c r="M22"/>
      <c r="N22"/>
      <c r="O22"/>
      <c r="P22"/>
      <c r="Q22"/>
      <c r="R22"/>
      <c r="T22"/>
      <c r="U22"/>
      <c r="V22"/>
      <c r="W22"/>
      <c r="X22"/>
    </row>
    <row r="23" spans="2:24" x14ac:dyDescent="0.2">
      <c r="B23" s="1" t="s">
        <v>190</v>
      </c>
      <c r="C23" s="9"/>
      <c r="D23" s="9"/>
      <c r="E23" s="9"/>
      <c r="F23" s="9"/>
      <c r="G23" s="9"/>
      <c r="H23" s="155">
        <f>-'EB2'!F7</f>
        <v>10381.463400000001</v>
      </c>
      <c r="S23" s="9"/>
    </row>
    <row r="24" spans="2:24" x14ac:dyDescent="0.2">
      <c r="B24" s="9"/>
      <c r="I24" s="9"/>
    </row>
    <row r="25" spans="2:24" x14ac:dyDescent="0.2">
      <c r="I25" s="9"/>
    </row>
    <row r="26" spans="2:24" x14ac:dyDescent="0.2">
      <c r="I26" s="9"/>
    </row>
    <row r="27" spans="2:24" x14ac:dyDescent="0.2">
      <c r="B27" s="159"/>
      <c r="C27" s="1" t="s">
        <v>199</v>
      </c>
      <c r="I27" s="9"/>
    </row>
    <row r="28" spans="2:24" x14ac:dyDescent="0.2">
      <c r="B28" s="156"/>
      <c r="C28" s="1" t="s">
        <v>200</v>
      </c>
      <c r="I28" s="9"/>
    </row>
    <row r="29" spans="2:24" x14ac:dyDescent="0.2">
      <c r="I29" s="9"/>
    </row>
    <row r="30" spans="2:24" x14ac:dyDescent="0.2">
      <c r="I30" s="9"/>
    </row>
    <row r="31" spans="2:24" x14ac:dyDescent="0.2">
      <c r="I31" s="9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38"/>
  <sheetViews>
    <sheetView zoomScaleNormal="100" workbookViewId="0">
      <selection activeCell="F21" sqref="F21"/>
    </sheetView>
  </sheetViews>
  <sheetFormatPr defaultColWidth="8.85546875" defaultRowHeight="12.75" x14ac:dyDescent="0.2"/>
  <cols>
    <col min="1" max="1" width="2" style="48" bestFit="1" customWidth="1"/>
    <col min="2" max="2" width="13.85546875" customWidth="1"/>
    <col min="3" max="3" width="11.85546875" bestFit="1" customWidth="1"/>
    <col min="4" max="4" width="11" customWidth="1"/>
    <col min="5" max="5" width="14" customWidth="1"/>
    <col min="6" max="6" width="8.42578125" bestFit="1" customWidth="1"/>
    <col min="7" max="7" width="13.7109375" style="48" customWidth="1"/>
    <col min="8" max="8" width="2.5703125" style="48" customWidth="1"/>
    <col min="9" max="9" width="11.85546875" bestFit="1" customWidth="1"/>
    <col min="10" max="10" width="7.42578125" bestFit="1" customWidth="1"/>
    <col min="11" max="11" width="12.140625" bestFit="1" customWidth="1"/>
    <col min="12" max="12" width="40.5703125" customWidth="1"/>
    <col min="13" max="13" width="6.140625" bestFit="1" customWidth="1"/>
    <col min="14" max="14" width="10.42578125" bestFit="1" customWidth="1"/>
    <col min="15" max="15" width="12.85546875" bestFit="1" customWidth="1"/>
    <col min="16" max="16" width="14.140625" bestFit="1" customWidth="1"/>
    <col min="17" max="17" width="8" bestFit="1" customWidth="1"/>
    <col min="18" max="16384" width="8.85546875" style="48"/>
  </cols>
  <sheetData>
    <row r="1" spans="2:18" ht="30" x14ac:dyDescent="0.25">
      <c r="B1" s="43" t="s">
        <v>94</v>
      </c>
      <c r="C1" s="43" t="s">
        <v>95</v>
      </c>
      <c r="D1" s="43" t="s">
        <v>96</v>
      </c>
      <c r="E1" s="43" t="s">
        <v>98</v>
      </c>
      <c r="F1" s="43" t="s">
        <v>99</v>
      </c>
    </row>
    <row r="2" spans="2:18" ht="15.75" x14ac:dyDescent="0.25">
      <c r="B2" s="20"/>
      <c r="C2" s="20" t="str">
        <f>EnergyBalance!H2</f>
        <v>RNW</v>
      </c>
      <c r="D2" s="20" t="str">
        <f>EnergyBalance!H3</f>
        <v>Renewable Energies</v>
      </c>
      <c r="E2" s="20" t="str">
        <f>EnergyBalance!R2</f>
        <v>PJ</v>
      </c>
      <c r="F2" s="20" t="str">
        <f>EnergyBalance!Q2</f>
        <v>M€2005</v>
      </c>
      <c r="I2" s="254" t="s">
        <v>14</v>
      </c>
      <c r="J2" s="254"/>
      <c r="K2" s="255"/>
      <c r="L2" s="255"/>
      <c r="M2" s="255"/>
      <c r="N2" s="255"/>
      <c r="O2" s="255"/>
      <c r="P2" s="255"/>
      <c r="Q2" s="255"/>
    </row>
    <row r="3" spans="2:18" x14ac:dyDescent="0.2">
      <c r="F3" s="19"/>
      <c r="I3" s="256" t="s">
        <v>7</v>
      </c>
      <c r="J3" s="257" t="s">
        <v>30</v>
      </c>
      <c r="K3" s="256" t="s">
        <v>0</v>
      </c>
      <c r="L3" s="256" t="s">
        <v>3</v>
      </c>
      <c r="M3" s="256" t="s">
        <v>4</v>
      </c>
      <c r="N3" s="256" t="s">
        <v>8</v>
      </c>
      <c r="O3" s="256" t="s">
        <v>9</v>
      </c>
      <c r="P3" s="256" t="s">
        <v>10</v>
      </c>
      <c r="Q3" s="256" t="s">
        <v>12</v>
      </c>
    </row>
    <row r="4" spans="2:18" ht="23.25" thickBot="1" x14ac:dyDescent="0.25">
      <c r="B4" s="1"/>
      <c r="I4" s="258" t="s">
        <v>40</v>
      </c>
      <c r="J4" s="258" t="s">
        <v>31</v>
      </c>
      <c r="K4" s="258" t="s">
        <v>26</v>
      </c>
      <c r="L4" s="258" t="s">
        <v>27</v>
      </c>
      <c r="M4" s="258" t="s">
        <v>4</v>
      </c>
      <c r="N4" s="258" t="s">
        <v>43</v>
      </c>
      <c r="O4" s="258" t="s">
        <v>44</v>
      </c>
      <c r="P4" s="258" t="s">
        <v>28</v>
      </c>
      <c r="Q4" s="258" t="s">
        <v>29</v>
      </c>
    </row>
    <row r="5" spans="2:18" x14ac:dyDescent="0.2">
      <c r="I5" s="259" t="s">
        <v>93</v>
      </c>
      <c r="J5" s="260"/>
      <c r="K5" s="259" t="str">
        <f>C2</f>
        <v>RNW</v>
      </c>
      <c r="L5" s="259" t="str">
        <f>D2</f>
        <v>Renewable Energies</v>
      </c>
      <c r="M5" s="259" t="str">
        <f>$E$2</f>
        <v>PJ</v>
      </c>
      <c r="N5" s="259"/>
      <c r="O5" s="259"/>
      <c r="P5" s="259"/>
      <c r="Q5" s="259"/>
    </row>
    <row r="7" spans="2:18" x14ac:dyDescent="0.2">
      <c r="D7" s="7" t="s">
        <v>13</v>
      </c>
      <c r="F7" s="7"/>
      <c r="G7"/>
      <c r="I7" s="254" t="s">
        <v>15</v>
      </c>
      <c r="J7" s="254"/>
      <c r="K7" s="261"/>
      <c r="L7" s="261"/>
      <c r="M7" s="261"/>
      <c r="N7" s="261"/>
      <c r="O7" s="261"/>
      <c r="P7" s="261"/>
      <c r="Q7" s="261"/>
    </row>
    <row r="8" spans="2:18" x14ac:dyDescent="0.2">
      <c r="B8" s="3" t="s">
        <v>1</v>
      </c>
      <c r="C8" s="30" t="s">
        <v>5</v>
      </c>
      <c r="D8" s="3" t="s">
        <v>6</v>
      </c>
      <c r="E8" s="188" t="s">
        <v>37</v>
      </c>
      <c r="F8" s="188" t="s">
        <v>38</v>
      </c>
      <c r="G8" s="188" t="s">
        <v>101</v>
      </c>
      <c r="I8" s="256" t="s">
        <v>11</v>
      </c>
      <c r="J8" s="257" t="s">
        <v>30</v>
      </c>
      <c r="K8" s="256" t="s">
        <v>1</v>
      </c>
      <c r="L8" s="256" t="s">
        <v>2</v>
      </c>
      <c r="M8" s="256" t="s">
        <v>16</v>
      </c>
      <c r="N8" s="256" t="s">
        <v>17</v>
      </c>
      <c r="O8" s="256" t="s">
        <v>18</v>
      </c>
      <c r="P8" s="256" t="s">
        <v>19</v>
      </c>
      <c r="Q8" s="256" t="s">
        <v>20</v>
      </c>
    </row>
    <row r="9" spans="2:18" ht="23.25" thickBot="1" x14ac:dyDescent="0.25">
      <c r="B9" s="26" t="s">
        <v>42</v>
      </c>
      <c r="C9" s="26" t="s">
        <v>32</v>
      </c>
      <c r="D9" s="26" t="s">
        <v>33</v>
      </c>
      <c r="E9" s="26" t="s">
        <v>39</v>
      </c>
      <c r="F9" s="26" t="s">
        <v>118</v>
      </c>
      <c r="G9" s="26" t="s">
        <v>117</v>
      </c>
      <c r="I9" s="258" t="s">
        <v>41</v>
      </c>
      <c r="J9" s="258" t="s">
        <v>31</v>
      </c>
      <c r="K9" s="258" t="s">
        <v>21</v>
      </c>
      <c r="L9" s="258" t="s">
        <v>22</v>
      </c>
      <c r="M9" s="258" t="s">
        <v>23</v>
      </c>
      <c r="N9" s="258" t="s">
        <v>24</v>
      </c>
      <c r="O9" s="258" t="s">
        <v>46</v>
      </c>
      <c r="P9" s="258" t="s">
        <v>45</v>
      </c>
      <c r="Q9" s="258" t="s">
        <v>25</v>
      </c>
    </row>
    <row r="10" spans="2:18" s="50" customFormat="1" ht="13.5" thickBot="1" x14ac:dyDescent="0.25">
      <c r="B10" s="26" t="s">
        <v>115</v>
      </c>
      <c r="C10" s="24"/>
      <c r="D10" s="24"/>
      <c r="E10" s="24" t="str">
        <f>$E$2</f>
        <v>PJ</v>
      </c>
      <c r="F10" s="24" t="str">
        <f>$F$2&amp;"/"&amp;$E$2</f>
        <v>M€2005/PJ</v>
      </c>
      <c r="G10" s="24" t="str">
        <f>$E$2</f>
        <v>PJ</v>
      </c>
      <c r="H10" s="48"/>
      <c r="I10" s="258" t="s">
        <v>104</v>
      </c>
      <c r="J10" s="262"/>
      <c r="K10" s="262"/>
      <c r="L10" s="262"/>
      <c r="M10" s="262"/>
      <c r="N10" s="262"/>
      <c r="O10" s="262"/>
      <c r="P10" s="262"/>
      <c r="Q10" s="262"/>
      <c r="R10" s="48"/>
    </row>
    <row r="11" spans="2:18" s="50" customFormat="1" ht="25.5" x14ac:dyDescent="0.2">
      <c r="B11" s="16" t="str">
        <f>K11</f>
        <v>MINRNW1</v>
      </c>
      <c r="C11" s="16"/>
      <c r="D11" s="16" t="str">
        <f>$K$5</f>
        <v>RNW</v>
      </c>
      <c r="E11" s="21"/>
      <c r="F11" s="44"/>
      <c r="G11" s="9"/>
      <c r="I11" s="259" t="str">
        <f>EnergyBalance!$B$5</f>
        <v>MIN</v>
      </c>
      <c r="J11" s="260"/>
      <c r="K11" s="260" t="str">
        <f>$I$11&amp;$C$2&amp;1</f>
        <v>MINRNW1</v>
      </c>
      <c r="L11" s="263" t="str">
        <f>"Domestic Supply of "&amp;$D$2&amp; " Step "&amp;RIGHT(K11,1)</f>
        <v>Domestic Supply of Renewable Energies Step 1</v>
      </c>
      <c r="M11" s="260" t="str">
        <f>$E$2</f>
        <v>PJ</v>
      </c>
      <c r="N11" s="260"/>
      <c r="O11" s="260"/>
      <c r="P11" s="260"/>
      <c r="Q11" s="260"/>
    </row>
    <row r="12" spans="2:18" s="50" customFormat="1" x14ac:dyDescent="0.2">
      <c r="B12" s="16"/>
      <c r="C12" s="16"/>
      <c r="D12" s="16"/>
      <c r="E12" s="21"/>
      <c r="F12" s="44"/>
      <c r="G12" s="9"/>
      <c r="I12" s="9"/>
      <c r="J12" s="9"/>
      <c r="K12" s="9"/>
      <c r="L12" s="34"/>
      <c r="M12" s="9"/>
      <c r="N12" s="9"/>
      <c r="O12" s="9"/>
      <c r="P12" s="9"/>
      <c r="Q12" s="9"/>
    </row>
    <row r="13" spans="2:18" x14ac:dyDescent="0.2">
      <c r="B13" s="16"/>
      <c r="C13" s="16"/>
      <c r="D13" s="16"/>
      <c r="E13" s="21"/>
      <c r="F13" s="44"/>
      <c r="G13" s="9"/>
      <c r="H13" s="50"/>
      <c r="I13" s="9"/>
      <c r="J13" s="9"/>
      <c r="K13" s="9"/>
      <c r="L13" s="34"/>
      <c r="M13" s="9"/>
      <c r="N13" s="9"/>
      <c r="O13" s="9"/>
      <c r="P13" s="9"/>
      <c r="Q13" s="9"/>
      <c r="R13" s="50"/>
    </row>
    <row r="14" spans="2:18" x14ac:dyDescent="0.2">
      <c r="B14" s="16"/>
      <c r="C14" s="16"/>
      <c r="D14" s="16"/>
      <c r="E14" s="15"/>
      <c r="F14" s="44"/>
      <c r="G14" s="9"/>
      <c r="I14" s="9"/>
      <c r="J14" s="9"/>
      <c r="K14" s="9"/>
      <c r="L14" s="34"/>
      <c r="M14" s="9"/>
      <c r="N14" s="9"/>
      <c r="O14" s="9"/>
      <c r="P14" s="9"/>
      <c r="Q14" s="9"/>
    </row>
    <row r="15" spans="2:18" x14ac:dyDescent="0.2">
      <c r="B15" s="16"/>
      <c r="C15" s="16"/>
      <c r="D15" s="16"/>
      <c r="E15" s="15"/>
      <c r="F15" s="44"/>
      <c r="G15" s="23"/>
      <c r="I15" s="9"/>
      <c r="J15" s="9"/>
      <c r="K15" s="9"/>
      <c r="L15" s="34"/>
      <c r="M15" s="9"/>
      <c r="N15" s="9"/>
      <c r="O15" s="9"/>
      <c r="P15" s="9"/>
      <c r="Q15" s="9"/>
    </row>
    <row r="16" spans="2:18" s="50" customFormat="1" x14ac:dyDescent="0.2">
      <c r="B16" s="16"/>
      <c r="C16" s="16"/>
      <c r="D16" s="9"/>
      <c r="E16" s="15"/>
      <c r="F16" s="15"/>
      <c r="G16" s="48"/>
      <c r="H16" s="48"/>
      <c r="I16" s="9"/>
      <c r="J16" s="9"/>
      <c r="K16" s="9"/>
      <c r="L16" s="9"/>
      <c r="M16" s="9"/>
      <c r="N16" s="9"/>
      <c r="O16" s="9"/>
      <c r="P16" s="9"/>
      <c r="Q16" s="9"/>
      <c r="R16" s="48"/>
    </row>
    <row r="17" spans="2:18" s="50" customFormat="1" x14ac:dyDescent="0.2">
      <c r="B17" s="9"/>
      <c r="C17" s="9"/>
      <c r="D17" s="9"/>
      <c r="E17" s="9"/>
      <c r="F17" s="9"/>
      <c r="I17" s="9"/>
      <c r="J17" s="9"/>
      <c r="K17" s="9"/>
      <c r="L17" s="9"/>
      <c r="M17" s="9"/>
      <c r="N17" s="9"/>
      <c r="O17" s="9"/>
      <c r="P17" s="9"/>
      <c r="Q17" s="9"/>
    </row>
    <row r="18" spans="2:18" x14ac:dyDescent="0.2">
      <c r="B18" s="9"/>
      <c r="C18" s="9"/>
      <c r="D18" s="9"/>
      <c r="E18" s="9"/>
      <c r="F18" s="9"/>
      <c r="G18" s="50"/>
      <c r="H18" s="50"/>
      <c r="I18" s="9"/>
      <c r="J18" s="9"/>
      <c r="K18" s="9"/>
      <c r="L18" s="9"/>
      <c r="M18" s="9"/>
      <c r="N18" s="9"/>
      <c r="O18" s="9"/>
      <c r="P18" s="9"/>
      <c r="Q18" s="9"/>
      <c r="R18" s="50"/>
    </row>
    <row r="19" spans="2:18" x14ac:dyDescent="0.2">
      <c r="B19" s="9"/>
      <c r="C19" s="9"/>
      <c r="D19" s="9"/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</row>
    <row r="20" spans="2:18" s="49" customFormat="1" ht="19.5" customHeight="1" x14ac:dyDescent="0.2">
      <c r="B20" s="9"/>
      <c r="C20" s="9"/>
      <c r="D20" s="9"/>
      <c r="E20" s="9"/>
      <c r="F20" s="9"/>
      <c r="G20" s="48"/>
      <c r="H20" s="48"/>
      <c r="I20" s="9"/>
      <c r="J20" s="9"/>
      <c r="K20" s="9"/>
      <c r="L20" s="9"/>
      <c r="M20" s="9"/>
      <c r="N20" s="9"/>
      <c r="O20" s="9"/>
      <c r="P20" s="9"/>
      <c r="Q20" s="9"/>
      <c r="R20" s="48"/>
    </row>
    <row r="21" spans="2:18" x14ac:dyDescent="0.2">
      <c r="B21" s="9"/>
      <c r="C21" s="9"/>
      <c r="D21" s="9"/>
      <c r="E21" s="9"/>
      <c r="F21" s="9"/>
      <c r="G21" s="49"/>
      <c r="H21" s="49"/>
      <c r="I21" s="9"/>
      <c r="J21" s="9"/>
      <c r="K21" s="9"/>
      <c r="L21" s="9"/>
      <c r="M21" s="9"/>
      <c r="N21" s="9"/>
      <c r="O21" s="9"/>
      <c r="P21" s="9"/>
      <c r="Q21" s="9"/>
      <c r="R21" s="49"/>
    </row>
    <row r="22" spans="2:18" x14ac:dyDescent="0.2">
      <c r="I22" s="9"/>
      <c r="J22" s="9"/>
      <c r="K22" s="9"/>
      <c r="L22" s="9"/>
      <c r="M22" s="9"/>
      <c r="N22" s="9"/>
      <c r="O22" s="9"/>
      <c r="P22" s="9"/>
      <c r="Q22" s="9"/>
    </row>
    <row r="23" spans="2:18" s="50" customFormat="1" x14ac:dyDescent="0.2">
      <c r="B23" s="80"/>
      <c r="C23" s="1" t="s">
        <v>199</v>
      </c>
      <c r="D23"/>
      <c r="E23"/>
      <c r="F23"/>
      <c r="G23" s="48"/>
      <c r="H23" s="48"/>
      <c r="I23"/>
      <c r="J23"/>
      <c r="K23"/>
      <c r="L23"/>
      <c r="M23"/>
      <c r="N23"/>
      <c r="O23"/>
      <c r="P23"/>
      <c r="Q23"/>
      <c r="R23" s="48"/>
    </row>
    <row r="24" spans="2:18" s="50" customFormat="1" x14ac:dyDescent="0.2">
      <c r="B24" s="156"/>
      <c r="C24" s="1" t="s">
        <v>200</v>
      </c>
      <c r="D24"/>
      <c r="E24"/>
      <c r="F24"/>
      <c r="I24"/>
      <c r="J24"/>
      <c r="K24"/>
      <c r="L24"/>
      <c r="M24"/>
      <c r="N24"/>
      <c r="O24"/>
      <c r="P24"/>
      <c r="Q24"/>
    </row>
    <row r="25" spans="2:18" s="50" customFormat="1" x14ac:dyDescent="0.2">
      <c r="B25"/>
      <c r="C25"/>
      <c r="D25"/>
      <c r="E25"/>
      <c r="F25"/>
      <c r="I25"/>
      <c r="J25"/>
      <c r="K25"/>
      <c r="L25"/>
      <c r="M25"/>
      <c r="N25"/>
      <c r="O25"/>
      <c r="P25"/>
      <c r="Q25"/>
    </row>
    <row r="26" spans="2:18" x14ac:dyDescent="0.2">
      <c r="G26" s="50"/>
      <c r="H26" s="50"/>
      <c r="R26" s="50"/>
    </row>
    <row r="30" spans="2:18" x14ac:dyDescent="0.2">
      <c r="G30" s="51"/>
      <c r="H30" s="51"/>
    </row>
    <row r="31" spans="2:18" x14ac:dyDescent="0.2">
      <c r="G31" s="51"/>
      <c r="H31" s="51"/>
    </row>
    <row r="32" spans="2:18" x14ac:dyDescent="0.2">
      <c r="G32" s="51"/>
      <c r="H32" s="51"/>
    </row>
    <row r="33" spans="7:8" x14ac:dyDescent="0.2">
      <c r="G33" s="51"/>
      <c r="H33" s="51"/>
    </row>
    <row r="34" spans="7:8" x14ac:dyDescent="0.2">
      <c r="G34" s="51"/>
      <c r="H34" s="51"/>
    </row>
    <row r="35" spans="7:8" x14ac:dyDescent="0.2">
      <c r="G35" s="51"/>
      <c r="H35" s="51"/>
    </row>
    <row r="36" spans="7:8" x14ac:dyDescent="0.2">
      <c r="G36" s="51"/>
      <c r="H36" s="51"/>
    </row>
    <row r="37" spans="7:8" x14ac:dyDescent="0.2">
      <c r="G37" s="51"/>
      <c r="H37" s="51"/>
    </row>
    <row r="38" spans="7:8" x14ac:dyDescent="0.2">
      <c r="G38" s="51"/>
      <c r="H38" s="5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38"/>
  <sheetViews>
    <sheetView zoomScaleNormal="100" workbookViewId="0">
      <selection activeCell="F21" sqref="F21"/>
    </sheetView>
  </sheetViews>
  <sheetFormatPr defaultColWidth="8.85546875" defaultRowHeight="12.75" x14ac:dyDescent="0.2"/>
  <cols>
    <col min="1" max="1" width="2" style="48" bestFit="1" customWidth="1"/>
    <col min="2" max="2" width="13.85546875" customWidth="1"/>
    <col min="3" max="3" width="11.85546875" bestFit="1" customWidth="1"/>
    <col min="4" max="4" width="11" customWidth="1"/>
    <col min="5" max="5" width="14.42578125" customWidth="1"/>
    <col min="6" max="6" width="8.42578125" bestFit="1" customWidth="1"/>
    <col min="7" max="7" width="13.85546875" customWidth="1"/>
    <col min="8" max="8" width="2" style="48" bestFit="1" customWidth="1"/>
    <col min="9" max="9" width="11.85546875" bestFit="1" customWidth="1"/>
    <col min="10" max="10" width="7.42578125" bestFit="1" customWidth="1"/>
    <col min="11" max="11" width="12.140625" bestFit="1" customWidth="1"/>
    <col min="12" max="12" width="37.28515625" bestFit="1" customWidth="1"/>
    <col min="13" max="13" width="6.140625" bestFit="1" customWidth="1"/>
    <col min="14" max="14" width="10.42578125" bestFit="1" customWidth="1"/>
    <col min="15" max="15" width="12.85546875" bestFit="1" customWidth="1"/>
    <col min="16" max="16" width="14.140625" bestFit="1" customWidth="1"/>
    <col min="17" max="17" width="8" bestFit="1" customWidth="1"/>
    <col min="18" max="16384" width="8.85546875" style="48"/>
  </cols>
  <sheetData>
    <row r="1" spans="2:18" ht="30" x14ac:dyDescent="0.25">
      <c r="B1" s="43" t="s">
        <v>94</v>
      </c>
      <c r="C1" s="43" t="s">
        <v>95</v>
      </c>
      <c r="D1" s="43" t="s">
        <v>96</v>
      </c>
      <c r="E1" s="43" t="s">
        <v>98</v>
      </c>
      <c r="F1" s="43" t="s">
        <v>99</v>
      </c>
    </row>
    <row r="2" spans="2:18" ht="15.75" x14ac:dyDescent="0.25">
      <c r="B2" s="20"/>
      <c r="C2" s="20" t="str">
        <f>EnergyBalance!G2</f>
        <v>NUC</v>
      </c>
      <c r="D2" s="20" t="str">
        <f>EnergyBalance!G3</f>
        <v>Nuclear Energy</v>
      </c>
      <c r="E2" s="20" t="str">
        <f>EnergyBalance!R2</f>
        <v>PJ</v>
      </c>
      <c r="F2" s="20" t="str">
        <f>EnergyBalance!Q2</f>
        <v>M€2005</v>
      </c>
      <c r="I2" s="254" t="s">
        <v>14</v>
      </c>
      <c r="J2" s="254"/>
      <c r="K2" s="255"/>
      <c r="L2" s="255"/>
      <c r="M2" s="255"/>
      <c r="N2" s="255"/>
      <c r="O2" s="255"/>
      <c r="P2" s="255"/>
      <c r="Q2" s="255"/>
    </row>
    <row r="3" spans="2:18" x14ac:dyDescent="0.2">
      <c r="F3" s="19"/>
      <c r="I3" s="256" t="s">
        <v>7</v>
      </c>
      <c r="J3" s="257" t="s">
        <v>30</v>
      </c>
      <c r="K3" s="256" t="s">
        <v>0</v>
      </c>
      <c r="L3" s="256" t="s">
        <v>3</v>
      </c>
      <c r="M3" s="256" t="s">
        <v>4</v>
      </c>
      <c r="N3" s="256" t="s">
        <v>8</v>
      </c>
      <c r="O3" s="256" t="s">
        <v>9</v>
      </c>
      <c r="P3" s="256" t="s">
        <v>10</v>
      </c>
      <c r="Q3" s="256" t="s">
        <v>12</v>
      </c>
    </row>
    <row r="4" spans="2:18" ht="23.25" thickBot="1" x14ac:dyDescent="0.25">
      <c r="B4" s="1"/>
      <c r="I4" s="258" t="s">
        <v>40</v>
      </c>
      <c r="J4" s="258" t="s">
        <v>31</v>
      </c>
      <c r="K4" s="258" t="s">
        <v>26</v>
      </c>
      <c r="L4" s="258" t="s">
        <v>27</v>
      </c>
      <c r="M4" s="258" t="s">
        <v>4</v>
      </c>
      <c r="N4" s="258" t="s">
        <v>43</v>
      </c>
      <c r="O4" s="258" t="s">
        <v>44</v>
      </c>
      <c r="P4" s="258" t="s">
        <v>28</v>
      </c>
      <c r="Q4" s="258" t="s">
        <v>29</v>
      </c>
    </row>
    <row r="5" spans="2:18" x14ac:dyDescent="0.2">
      <c r="I5" s="259" t="s">
        <v>93</v>
      </c>
      <c r="J5" s="260"/>
      <c r="K5" s="259" t="str">
        <f>C2</f>
        <v>NUC</v>
      </c>
      <c r="L5" s="259" t="str">
        <f>D2</f>
        <v>Nuclear Energy</v>
      </c>
      <c r="M5" s="259" t="str">
        <f>$E$2</f>
        <v>PJ</v>
      </c>
      <c r="N5" s="259"/>
      <c r="O5" s="259"/>
      <c r="P5" s="259"/>
      <c r="Q5" s="259"/>
    </row>
    <row r="7" spans="2:18" x14ac:dyDescent="0.2">
      <c r="D7" s="7" t="s">
        <v>13</v>
      </c>
      <c r="F7" s="7"/>
      <c r="I7" s="254" t="s">
        <v>15</v>
      </c>
      <c r="J7" s="254"/>
      <c r="K7" s="261"/>
      <c r="L7" s="261"/>
      <c r="M7" s="261"/>
      <c r="N7" s="261"/>
      <c r="O7" s="261"/>
      <c r="P7" s="261"/>
      <c r="Q7" s="261"/>
    </row>
    <row r="8" spans="2:18" x14ac:dyDescent="0.2">
      <c r="B8" s="3" t="s">
        <v>1</v>
      </c>
      <c r="C8" s="30" t="s">
        <v>5</v>
      </c>
      <c r="D8" s="3" t="s">
        <v>6</v>
      </c>
      <c r="E8" s="188" t="s">
        <v>37</v>
      </c>
      <c r="F8" s="188" t="s">
        <v>38</v>
      </c>
      <c r="G8" s="188" t="s">
        <v>101</v>
      </c>
      <c r="I8" s="256" t="s">
        <v>11</v>
      </c>
      <c r="J8" s="257" t="s">
        <v>30</v>
      </c>
      <c r="K8" s="256" t="s">
        <v>1</v>
      </c>
      <c r="L8" s="256" t="s">
        <v>2</v>
      </c>
      <c r="M8" s="256" t="s">
        <v>16</v>
      </c>
      <c r="N8" s="256" t="s">
        <v>17</v>
      </c>
      <c r="O8" s="256" t="s">
        <v>18</v>
      </c>
      <c r="P8" s="256" t="s">
        <v>19</v>
      </c>
      <c r="Q8" s="256" t="s">
        <v>20</v>
      </c>
    </row>
    <row r="9" spans="2:18" ht="23.25" thickBot="1" x14ac:dyDescent="0.25">
      <c r="B9" s="26" t="s">
        <v>42</v>
      </c>
      <c r="C9" s="26" t="s">
        <v>32</v>
      </c>
      <c r="D9" s="26" t="s">
        <v>33</v>
      </c>
      <c r="E9" s="26" t="s">
        <v>39</v>
      </c>
      <c r="F9" s="26" t="s">
        <v>118</v>
      </c>
      <c r="G9" s="26" t="s">
        <v>117</v>
      </c>
      <c r="I9" s="258" t="s">
        <v>41</v>
      </c>
      <c r="J9" s="258" t="s">
        <v>31</v>
      </c>
      <c r="K9" s="258" t="s">
        <v>21</v>
      </c>
      <c r="L9" s="258" t="s">
        <v>22</v>
      </c>
      <c r="M9" s="258" t="s">
        <v>23</v>
      </c>
      <c r="N9" s="258" t="s">
        <v>24</v>
      </c>
      <c r="O9" s="258" t="s">
        <v>46</v>
      </c>
      <c r="P9" s="258" t="s">
        <v>45</v>
      </c>
      <c r="Q9" s="258" t="s">
        <v>25</v>
      </c>
    </row>
    <row r="10" spans="2:18" s="50" customFormat="1" ht="13.5" thickBot="1" x14ac:dyDescent="0.25">
      <c r="B10" s="26" t="s">
        <v>115</v>
      </c>
      <c r="C10" s="24"/>
      <c r="D10" s="24"/>
      <c r="E10" s="24" t="str">
        <f>$E$2</f>
        <v>PJ</v>
      </c>
      <c r="F10" s="24" t="str">
        <f>$F$2&amp;"/"&amp;$E$2</f>
        <v>M€2005/PJ</v>
      </c>
      <c r="G10" s="24" t="str">
        <f>$E$2</f>
        <v>PJ</v>
      </c>
      <c r="H10" s="48"/>
      <c r="I10" s="258" t="s">
        <v>104</v>
      </c>
      <c r="J10" s="262"/>
      <c r="K10" s="262"/>
      <c r="L10" s="262"/>
      <c r="M10" s="262"/>
      <c r="N10" s="262"/>
      <c r="O10" s="262"/>
      <c r="P10" s="262"/>
      <c r="Q10" s="262"/>
      <c r="R10" s="48"/>
    </row>
    <row r="11" spans="2:18" s="50" customFormat="1" x14ac:dyDescent="0.2">
      <c r="B11" s="16" t="str">
        <f>K11</f>
        <v>MINNUC1</v>
      </c>
      <c r="C11" s="16"/>
      <c r="D11" s="16" t="str">
        <f>$K$5</f>
        <v>NUC</v>
      </c>
      <c r="E11" s="21"/>
      <c r="F11" s="44"/>
      <c r="G11" s="9"/>
      <c r="I11" s="259" t="str">
        <f>EnergyBalance!$B$5</f>
        <v>MIN</v>
      </c>
      <c r="J11" s="260"/>
      <c r="K11" s="260" t="str">
        <f>$I$11&amp;$C$2&amp;1</f>
        <v>MINNUC1</v>
      </c>
      <c r="L11" s="263" t="str">
        <f>"Domestic Supply of "&amp;$D$2&amp; " Step "&amp;RIGHT(K11,1)</f>
        <v>Domestic Supply of Nuclear Energy Step 1</v>
      </c>
      <c r="M11" s="260" t="str">
        <f>$E$2</f>
        <v>PJ</v>
      </c>
      <c r="N11" s="260"/>
      <c r="O11" s="260"/>
      <c r="P11" s="260"/>
      <c r="Q11" s="260"/>
    </row>
    <row r="12" spans="2:18" s="50" customFormat="1" x14ac:dyDescent="0.2">
      <c r="B12" s="16"/>
      <c r="C12" s="16"/>
      <c r="D12" s="16"/>
      <c r="E12" s="21"/>
      <c r="F12" s="44"/>
      <c r="G12" s="9"/>
      <c r="I12" s="9"/>
      <c r="J12" s="9"/>
      <c r="K12" s="9"/>
      <c r="L12" s="34"/>
      <c r="M12" s="9"/>
      <c r="N12" s="9"/>
      <c r="O12" s="9"/>
      <c r="P12" s="9"/>
      <c r="Q12" s="9"/>
    </row>
    <row r="13" spans="2:18" x14ac:dyDescent="0.2">
      <c r="B13" s="16"/>
      <c r="C13" s="16"/>
      <c r="D13" s="16"/>
      <c r="E13" s="21"/>
      <c r="F13" s="44"/>
      <c r="G13" s="9"/>
      <c r="H13" s="50"/>
      <c r="I13" s="9"/>
      <c r="J13" s="9"/>
      <c r="K13" s="9"/>
      <c r="L13" s="34"/>
      <c r="M13" s="9"/>
      <c r="N13" s="9"/>
      <c r="O13" s="9"/>
      <c r="P13" s="9"/>
      <c r="Q13" s="9"/>
      <c r="R13" s="50"/>
    </row>
    <row r="14" spans="2:18" x14ac:dyDescent="0.2">
      <c r="B14" s="16"/>
      <c r="C14" s="16"/>
      <c r="D14" s="16"/>
      <c r="E14" s="15"/>
      <c r="F14" s="44"/>
      <c r="G14" s="9"/>
      <c r="I14" s="9"/>
      <c r="J14" s="9"/>
      <c r="K14" s="9"/>
      <c r="L14" s="34"/>
      <c r="M14" s="9"/>
      <c r="N14" s="9"/>
      <c r="O14" s="9"/>
      <c r="P14" s="9"/>
      <c r="Q14" s="9"/>
    </row>
    <row r="15" spans="2:18" x14ac:dyDescent="0.2">
      <c r="B15" s="16"/>
      <c r="C15" s="16"/>
      <c r="D15" s="16"/>
      <c r="E15" s="15"/>
      <c r="F15" s="44"/>
      <c r="G15" s="23"/>
      <c r="I15" s="9"/>
      <c r="J15" s="9"/>
      <c r="K15" s="9"/>
      <c r="L15" s="34"/>
      <c r="M15" s="9"/>
      <c r="N15" s="9"/>
      <c r="O15" s="9"/>
      <c r="P15" s="9"/>
      <c r="Q15" s="9"/>
    </row>
    <row r="16" spans="2:18" s="50" customFormat="1" x14ac:dyDescent="0.2">
      <c r="B16" s="16"/>
      <c r="C16" s="16"/>
      <c r="D16" s="9"/>
      <c r="E16" s="15"/>
      <c r="F16" s="15"/>
      <c r="G16" s="23"/>
      <c r="H16" s="48"/>
      <c r="I16" s="9"/>
      <c r="J16" s="9"/>
      <c r="K16" s="9"/>
      <c r="L16" s="9"/>
      <c r="M16" s="9"/>
      <c r="N16" s="9"/>
      <c r="O16" s="9"/>
      <c r="P16" s="9"/>
      <c r="Q16" s="9"/>
      <c r="R16" s="48"/>
    </row>
    <row r="17" spans="2:18" s="50" customFormat="1" x14ac:dyDescent="0.2">
      <c r="B17" s="9"/>
      <c r="C17" s="9"/>
      <c r="D17" s="9"/>
      <c r="E17" s="9"/>
      <c r="F17" s="9"/>
      <c r="G17" s="9"/>
      <c r="I17" s="9"/>
      <c r="J17" s="9"/>
      <c r="K17" s="9"/>
      <c r="L17" s="9"/>
      <c r="M17" s="9"/>
      <c r="N17" s="9"/>
      <c r="O17" s="9"/>
      <c r="P17" s="9"/>
      <c r="Q17" s="9"/>
    </row>
    <row r="18" spans="2:18" x14ac:dyDescent="0.2">
      <c r="B18" s="9"/>
      <c r="C18" s="9"/>
      <c r="D18" s="9"/>
      <c r="E18" s="9"/>
      <c r="F18" s="9"/>
      <c r="G18" s="9"/>
      <c r="H18" s="50"/>
      <c r="I18" s="9"/>
      <c r="J18" s="9"/>
      <c r="K18" s="9"/>
      <c r="L18" s="9"/>
      <c r="M18" s="9"/>
      <c r="N18" s="9"/>
      <c r="O18" s="9"/>
      <c r="P18" s="9"/>
      <c r="Q18" s="9"/>
      <c r="R18" s="50"/>
    </row>
    <row r="19" spans="2:18" x14ac:dyDescent="0.2">
      <c r="B19" s="9"/>
      <c r="C19" s="9"/>
      <c r="D19" s="9"/>
      <c r="E19" s="9"/>
      <c r="F19" s="9"/>
      <c r="G19" s="9"/>
      <c r="I19" s="9"/>
      <c r="J19" s="9"/>
      <c r="K19" s="9"/>
      <c r="L19" s="9"/>
      <c r="M19" s="9"/>
      <c r="N19" s="9"/>
      <c r="O19" s="9"/>
      <c r="P19" s="9"/>
      <c r="Q19" s="9"/>
    </row>
    <row r="20" spans="2:18" s="49" customFormat="1" ht="19.5" customHeight="1" x14ac:dyDescent="0.2">
      <c r="B20" s="9"/>
      <c r="C20" s="9"/>
      <c r="D20" s="9"/>
      <c r="E20" s="9"/>
      <c r="F20" s="9"/>
      <c r="G20" s="9"/>
      <c r="H20" s="48"/>
      <c r="I20" s="9"/>
      <c r="J20" s="9"/>
      <c r="K20" s="9"/>
      <c r="L20" s="9"/>
      <c r="M20" s="9"/>
      <c r="N20" s="9"/>
      <c r="O20" s="9"/>
      <c r="P20" s="9"/>
      <c r="Q20" s="9"/>
      <c r="R20" s="48"/>
    </row>
    <row r="21" spans="2:18" x14ac:dyDescent="0.2">
      <c r="B21" s="9"/>
      <c r="C21" s="9"/>
      <c r="D21" s="9"/>
      <c r="E21" s="9"/>
      <c r="F21" s="9"/>
      <c r="G21" s="9"/>
      <c r="H21" s="49"/>
      <c r="I21" s="9"/>
      <c r="J21" s="9"/>
      <c r="K21" s="9"/>
      <c r="L21" s="9"/>
      <c r="M21" s="9"/>
      <c r="N21" s="9"/>
      <c r="O21" s="9"/>
      <c r="P21" s="9"/>
      <c r="Q21" s="9"/>
      <c r="R21" s="49"/>
    </row>
    <row r="22" spans="2:18" x14ac:dyDescent="0.2">
      <c r="I22" s="9"/>
      <c r="J22" s="9"/>
      <c r="K22" s="9"/>
      <c r="L22" s="9"/>
      <c r="M22" s="9"/>
      <c r="N22" s="9"/>
      <c r="O22" s="9"/>
      <c r="P22" s="9"/>
      <c r="Q22" s="9"/>
    </row>
    <row r="23" spans="2:18" s="50" customFormat="1" x14ac:dyDescent="0.2">
      <c r="B23" s="80"/>
      <c r="C23" s="1" t="s">
        <v>199</v>
      </c>
      <c r="D23"/>
      <c r="E23"/>
      <c r="F23"/>
      <c r="G23"/>
      <c r="H23" s="48"/>
      <c r="I23"/>
      <c r="J23"/>
      <c r="K23"/>
      <c r="L23"/>
      <c r="M23"/>
      <c r="N23"/>
      <c r="O23"/>
      <c r="P23"/>
      <c r="Q23"/>
      <c r="R23" s="48"/>
    </row>
    <row r="24" spans="2:18" s="50" customFormat="1" x14ac:dyDescent="0.2">
      <c r="B24" s="156"/>
      <c r="C24" s="1" t="s">
        <v>200</v>
      </c>
      <c r="D24"/>
      <c r="E24"/>
      <c r="F24"/>
      <c r="G24"/>
      <c r="I24"/>
      <c r="J24"/>
      <c r="K24"/>
      <c r="L24"/>
      <c r="M24"/>
      <c r="N24"/>
      <c r="O24"/>
      <c r="P24"/>
      <c r="Q24"/>
    </row>
    <row r="25" spans="2:18" s="50" customFormat="1" x14ac:dyDescent="0.2">
      <c r="B25"/>
      <c r="C25"/>
      <c r="D25"/>
      <c r="E25"/>
      <c r="F25"/>
      <c r="G25"/>
      <c r="I25"/>
      <c r="J25"/>
      <c r="K25"/>
      <c r="L25"/>
      <c r="M25"/>
      <c r="N25"/>
      <c r="O25"/>
      <c r="P25"/>
      <c r="Q25"/>
    </row>
    <row r="26" spans="2:18" x14ac:dyDescent="0.2">
      <c r="H26" s="50"/>
      <c r="R26" s="50"/>
    </row>
    <row r="30" spans="2:18" x14ac:dyDescent="0.2">
      <c r="H30" s="51"/>
    </row>
    <row r="31" spans="2:18" x14ac:dyDescent="0.2">
      <c r="H31" s="51"/>
    </row>
    <row r="32" spans="2:18" x14ac:dyDescent="0.2">
      <c r="H32" s="51"/>
    </row>
    <row r="33" spans="8:8" x14ac:dyDescent="0.2">
      <c r="H33" s="51"/>
    </row>
    <row r="34" spans="8:8" x14ac:dyDescent="0.2">
      <c r="H34" s="51"/>
    </row>
    <row r="35" spans="8:8" x14ac:dyDescent="0.2">
      <c r="H35" s="51"/>
    </row>
    <row r="36" spans="8:8" x14ac:dyDescent="0.2">
      <c r="H36" s="51"/>
    </row>
    <row r="37" spans="8:8" x14ac:dyDescent="0.2">
      <c r="H37" s="51"/>
    </row>
    <row r="38" spans="8:8" x14ac:dyDescent="0.2">
      <c r="H38" s="5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33"/>
  <sheetViews>
    <sheetView zoomScaleNormal="100" workbookViewId="0">
      <selection activeCell="D1" sqref="D1:D2"/>
    </sheetView>
  </sheetViews>
  <sheetFormatPr defaultRowHeight="12.75" x14ac:dyDescent="0.2"/>
  <cols>
    <col min="1" max="1" width="3" customWidth="1"/>
    <col min="2" max="2" width="13.5703125" bestFit="1" customWidth="1"/>
    <col min="3" max="3" width="12.28515625" customWidth="1"/>
    <col min="4" max="4" width="11.85546875" bestFit="1" customWidth="1"/>
    <col min="5" max="5" width="14.7109375" customWidth="1"/>
    <col min="6" max="6" width="13.28515625" customWidth="1"/>
    <col min="7" max="7" width="7.7109375" customWidth="1"/>
    <col min="8" max="8" width="8.28515625" bestFit="1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73.5703125" bestFit="1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17" t="s">
        <v>94</v>
      </c>
      <c r="C1" s="17" t="s">
        <v>95</v>
      </c>
      <c r="D1" s="17" t="s">
        <v>96</v>
      </c>
      <c r="E1" s="17" t="s">
        <v>152</v>
      </c>
      <c r="F1" s="17" t="s">
        <v>120</v>
      </c>
      <c r="G1" s="17" t="s">
        <v>127</v>
      </c>
    </row>
    <row r="2" spans="2:18" ht="15.75" x14ac:dyDescent="0.25">
      <c r="B2" s="20"/>
      <c r="C2" s="20"/>
      <c r="D2" s="20" t="s">
        <v>150</v>
      </c>
      <c r="E2" s="20" t="str">
        <f>EnergyBalance!R2</f>
        <v>PJ</v>
      </c>
      <c r="F2" s="20" t="str">
        <f>EnergyBalance!Q2</f>
        <v>M€2005</v>
      </c>
      <c r="G2" s="20" t="s">
        <v>128</v>
      </c>
      <c r="J2" s="254" t="s">
        <v>14</v>
      </c>
      <c r="K2" s="254"/>
      <c r="L2" s="255"/>
      <c r="M2" s="255"/>
      <c r="N2" s="255"/>
      <c r="O2" s="255"/>
      <c r="P2" s="255"/>
      <c r="Q2" s="255"/>
      <c r="R2" s="255"/>
    </row>
    <row r="3" spans="2:18" x14ac:dyDescent="0.2">
      <c r="J3" s="256" t="s">
        <v>7</v>
      </c>
      <c r="K3" s="257" t="s">
        <v>30</v>
      </c>
      <c r="L3" s="256" t="s">
        <v>0</v>
      </c>
      <c r="M3" s="256" t="s">
        <v>3</v>
      </c>
      <c r="N3" s="256" t="s">
        <v>4</v>
      </c>
      <c r="O3" s="256" t="s">
        <v>8</v>
      </c>
      <c r="P3" s="256" t="s">
        <v>9</v>
      </c>
      <c r="Q3" s="256" t="s">
        <v>10</v>
      </c>
      <c r="R3" s="256" t="s">
        <v>12</v>
      </c>
    </row>
    <row r="4" spans="2:18" s="9" customFormat="1" ht="24" thickBot="1" x14ac:dyDescent="0.3">
      <c r="B4" s="18"/>
      <c r="C4" s="18"/>
      <c r="D4" s="18"/>
      <c r="E4" s="18"/>
      <c r="G4"/>
      <c r="H4" s="18"/>
      <c r="J4" s="258" t="s">
        <v>40</v>
      </c>
      <c r="K4" s="258" t="s">
        <v>31</v>
      </c>
      <c r="L4" s="258" t="s">
        <v>26</v>
      </c>
      <c r="M4" s="258" t="s">
        <v>27</v>
      </c>
      <c r="N4" s="258" t="s">
        <v>4</v>
      </c>
      <c r="O4" s="258" t="s">
        <v>43</v>
      </c>
      <c r="P4" s="258" t="s">
        <v>44</v>
      </c>
      <c r="Q4" s="258" t="s">
        <v>28</v>
      </c>
      <c r="R4" s="258" t="s">
        <v>29</v>
      </c>
    </row>
    <row r="5" spans="2:18" x14ac:dyDescent="0.2">
      <c r="B5" s="11"/>
      <c r="C5" s="11"/>
      <c r="D5" s="11"/>
      <c r="E5" s="22"/>
      <c r="F5" s="22"/>
      <c r="H5" s="172"/>
      <c r="J5" s="260" t="s">
        <v>93</v>
      </c>
      <c r="K5" s="260"/>
      <c r="L5" s="260" t="str">
        <f>EnergyBalance!$B$16&amp;EnergyBalance!$E$2</f>
        <v>RSDGAS</v>
      </c>
      <c r="M5" s="263" t="str">
        <f>EnergyBalance!$C$16&amp;" "&amp;EnergyBalance!$E$3</f>
        <v>Residential Natural Gas</v>
      </c>
      <c r="N5" s="260" t="str">
        <f t="shared" ref="N5:N11" si="0">$E$2</f>
        <v>PJ</v>
      </c>
      <c r="O5" s="260"/>
      <c r="P5" s="260"/>
      <c r="Q5" s="260"/>
      <c r="R5" s="260"/>
    </row>
    <row r="6" spans="2:18" x14ac:dyDescent="0.2">
      <c r="B6" s="11"/>
      <c r="C6" s="11"/>
      <c r="D6" s="11"/>
      <c r="E6" s="22"/>
      <c r="F6" s="22"/>
      <c r="H6" s="172"/>
      <c r="J6" s="261"/>
      <c r="K6" s="261"/>
      <c r="L6" s="261" t="str">
        <f>EnergyBalance!$B$20&amp;EnergyBalance!$F$2</f>
        <v>TRAOIL</v>
      </c>
      <c r="M6" s="261" t="str">
        <f>EnergyBalance!$C$20&amp;" "&amp;EnergyBalance!$F$3</f>
        <v>Transport Crude Oil</v>
      </c>
      <c r="N6" s="261" t="str">
        <f t="shared" si="0"/>
        <v>PJ</v>
      </c>
      <c r="O6" s="260"/>
      <c r="P6" s="260"/>
      <c r="Q6" s="260"/>
      <c r="R6" s="260"/>
    </row>
    <row r="7" spans="2:18" x14ac:dyDescent="0.2">
      <c r="B7" s="11"/>
      <c r="C7" s="11"/>
      <c r="D7" s="11"/>
      <c r="E7" s="22"/>
      <c r="F7" s="22"/>
      <c r="H7" s="172"/>
      <c r="J7" s="260"/>
      <c r="K7" s="260"/>
      <c r="L7" s="260" t="str">
        <f>Con_ELC!$B$2&amp;EnergyBalance!$D$2</f>
        <v>ELCCOA</v>
      </c>
      <c r="M7" s="263" t="str">
        <f>Con_ELC!$C$2&amp;" "&amp;EnergyBalance!$D$3</f>
        <v>Electricity Plants Solid Fuels</v>
      </c>
      <c r="N7" s="260" t="str">
        <f t="shared" si="0"/>
        <v>PJ</v>
      </c>
      <c r="O7" s="260"/>
      <c r="P7" s="260"/>
      <c r="Q7" s="260"/>
      <c r="R7" s="260"/>
    </row>
    <row r="8" spans="2:18" x14ac:dyDescent="0.2">
      <c r="B8" s="11"/>
      <c r="C8" s="11"/>
      <c r="D8" s="11"/>
      <c r="E8" s="22"/>
      <c r="F8" s="22"/>
      <c r="H8" s="172"/>
      <c r="J8" s="260"/>
      <c r="K8" s="260"/>
      <c r="L8" s="260" t="str">
        <f>Con_ELC!$B$2&amp;EnergyBalance!$E$2</f>
        <v>ELCGAS</v>
      </c>
      <c r="M8" s="263" t="str">
        <f>Con_ELC!$C$2&amp;" "&amp;EnergyBalance!$E$3</f>
        <v>Electricity Plants Natural Gas</v>
      </c>
      <c r="N8" s="260" t="str">
        <f t="shared" si="0"/>
        <v>PJ</v>
      </c>
      <c r="O8" s="260"/>
      <c r="P8" s="260"/>
      <c r="Q8" s="260"/>
      <c r="R8" s="260"/>
    </row>
    <row r="9" spans="2:18" x14ac:dyDescent="0.2">
      <c r="B9" s="11"/>
      <c r="C9" s="11"/>
      <c r="D9" s="11"/>
      <c r="E9" s="22"/>
      <c r="F9" s="22"/>
      <c r="H9" s="172"/>
      <c r="J9" s="260"/>
      <c r="K9" s="260"/>
      <c r="L9" s="260" t="str">
        <f>Con_ELC!$B$2&amp;EnergyBalance!$F$2</f>
        <v>ELCOIL</v>
      </c>
      <c r="M9" s="263" t="str">
        <f>Con_ELC!$C$2&amp;" "&amp;EnergyBalance!$F$3</f>
        <v>Electricity Plants Crude Oil</v>
      </c>
      <c r="N9" s="260" t="str">
        <f t="shared" si="0"/>
        <v>PJ</v>
      </c>
      <c r="O9" s="260"/>
      <c r="P9" s="260"/>
      <c r="Q9" s="260"/>
      <c r="R9" s="260"/>
    </row>
    <row r="10" spans="2:18" x14ac:dyDescent="0.2">
      <c r="B10" s="11"/>
      <c r="C10" s="11"/>
      <c r="D10" s="11"/>
      <c r="E10" s="22"/>
      <c r="F10" s="22"/>
      <c r="H10" s="172"/>
      <c r="J10" s="260"/>
      <c r="K10" s="260"/>
      <c r="L10" s="260" t="str">
        <f>Con_ELC!$B$2&amp;EnergyBalance!$H$2</f>
        <v>ELCRNW</v>
      </c>
      <c r="M10" s="263" t="str">
        <f>Con_ELC!$C$2&amp;" "&amp;EnergyBalance!$H$3</f>
        <v>Electricity Plants Renewable Energies</v>
      </c>
      <c r="N10" s="260" t="str">
        <f t="shared" si="0"/>
        <v>PJ</v>
      </c>
      <c r="O10" s="260"/>
      <c r="P10" s="260"/>
      <c r="Q10" s="260"/>
      <c r="R10" s="260"/>
    </row>
    <row r="11" spans="2:18" x14ac:dyDescent="0.2">
      <c r="B11" s="11"/>
      <c r="C11" s="11"/>
      <c r="D11" s="11"/>
      <c r="E11" s="22"/>
      <c r="F11" s="22"/>
      <c r="H11" s="172"/>
      <c r="J11" s="260"/>
      <c r="K11" s="260"/>
      <c r="L11" s="260" t="str">
        <f>Con_ELC!$B$2&amp;EnergyBalance!$G$2</f>
        <v>ELCNUC</v>
      </c>
      <c r="M11" s="263" t="str">
        <f>Con_ELC!$C$2&amp;" "&amp;EnergyBalance!$G$3</f>
        <v>Electricity Plants Nuclear Energy</v>
      </c>
      <c r="N11" s="260" t="str">
        <f t="shared" si="0"/>
        <v>PJ</v>
      </c>
      <c r="O11" s="260"/>
      <c r="P11" s="260"/>
      <c r="Q11" s="260"/>
      <c r="R11" s="260"/>
    </row>
    <row r="12" spans="2:18" x14ac:dyDescent="0.2">
      <c r="L12" s="51"/>
      <c r="M12" s="53"/>
    </row>
    <row r="13" spans="2:18" x14ac:dyDescent="0.2">
      <c r="D13" s="7" t="s">
        <v>13</v>
      </c>
      <c r="E13" s="7"/>
      <c r="F13" s="7"/>
      <c r="J13" s="254" t="s">
        <v>15</v>
      </c>
      <c r="K13" s="254"/>
      <c r="L13" s="261"/>
      <c r="M13" s="261"/>
      <c r="N13" s="261"/>
      <c r="O13" s="261"/>
      <c r="P13" s="261"/>
      <c r="Q13" s="261"/>
      <c r="R13" s="261"/>
    </row>
    <row r="14" spans="2:18" ht="25.5" x14ac:dyDescent="0.2">
      <c r="B14" s="29" t="s">
        <v>1</v>
      </c>
      <c r="C14" s="29" t="s">
        <v>5</v>
      </c>
      <c r="D14" s="29" t="s">
        <v>6</v>
      </c>
      <c r="E14" s="191" t="s">
        <v>208</v>
      </c>
      <c r="F14" s="191" t="s">
        <v>209</v>
      </c>
      <c r="G14" s="191" t="s">
        <v>109</v>
      </c>
      <c r="H14" s="191" t="s">
        <v>102</v>
      </c>
      <c r="J14" s="256" t="s">
        <v>11</v>
      </c>
      <c r="K14" s="257" t="s">
        <v>30</v>
      </c>
      <c r="L14" s="256" t="s">
        <v>1</v>
      </c>
      <c r="M14" s="256" t="s">
        <v>2</v>
      </c>
      <c r="N14" s="256" t="s">
        <v>16</v>
      </c>
      <c r="O14" s="256" t="s">
        <v>17</v>
      </c>
      <c r="P14" s="256" t="s">
        <v>18</v>
      </c>
      <c r="Q14" s="256" t="s">
        <v>19</v>
      </c>
      <c r="R14" s="256" t="s">
        <v>20</v>
      </c>
    </row>
    <row r="15" spans="2:18" ht="23.25" thickBot="1" x14ac:dyDescent="0.25">
      <c r="B15" s="27" t="s">
        <v>42</v>
      </c>
      <c r="C15" s="27" t="s">
        <v>32</v>
      </c>
      <c r="D15" s="27" t="s">
        <v>33</v>
      </c>
      <c r="E15" s="27" t="s">
        <v>34</v>
      </c>
      <c r="F15" s="27" t="s">
        <v>34</v>
      </c>
      <c r="G15" s="27" t="s">
        <v>114</v>
      </c>
      <c r="H15" s="248" t="s">
        <v>216</v>
      </c>
      <c r="J15" s="258" t="s">
        <v>41</v>
      </c>
      <c r="K15" s="258" t="s">
        <v>31</v>
      </c>
      <c r="L15" s="258" t="s">
        <v>21</v>
      </c>
      <c r="M15" s="258" t="s">
        <v>22</v>
      </c>
      <c r="N15" s="258" t="s">
        <v>23</v>
      </c>
      <c r="O15" s="258" t="s">
        <v>24</v>
      </c>
      <c r="P15" s="258" t="s">
        <v>46</v>
      </c>
      <c r="Q15" s="258" t="s">
        <v>45</v>
      </c>
      <c r="R15" s="258" t="s">
        <v>25</v>
      </c>
    </row>
    <row r="16" spans="2:18" ht="13.5" thickBot="1" x14ac:dyDescent="0.25">
      <c r="B16" s="26" t="s">
        <v>115</v>
      </c>
      <c r="C16" s="26"/>
      <c r="D16" s="26"/>
      <c r="E16" s="24" t="str">
        <f>E2&amp;"a"</f>
        <v>PJa</v>
      </c>
      <c r="F16" s="24" t="str">
        <f>E2&amp;"a"</f>
        <v>PJa</v>
      </c>
      <c r="G16" s="24"/>
      <c r="H16" s="24" t="s">
        <v>116</v>
      </c>
      <c r="J16" s="258" t="s">
        <v>104</v>
      </c>
      <c r="K16" s="262"/>
      <c r="L16" s="262"/>
      <c r="M16" s="262"/>
      <c r="N16" s="262"/>
      <c r="O16" s="262"/>
      <c r="P16" s="262"/>
      <c r="Q16" s="262"/>
      <c r="R16" s="262"/>
    </row>
    <row r="17" spans="2:18" x14ac:dyDescent="0.2">
      <c r="B17" t="str">
        <f t="shared" ref="B17:B23" si="1">L17</f>
        <v>FTE-RSDGAS</v>
      </c>
      <c r="C17" t="str">
        <f t="shared" ref="C17:C23" si="2">RIGHT(D17,3)</f>
        <v>GAS</v>
      </c>
      <c r="D17" t="str">
        <f>$L$5</f>
        <v>RSDGAS</v>
      </c>
      <c r="E17" s="22"/>
      <c r="F17" s="23"/>
      <c r="G17" s="158">
        <v>1</v>
      </c>
      <c r="H17" s="159">
        <v>30</v>
      </c>
      <c r="J17" s="259" t="s">
        <v>151</v>
      </c>
      <c r="K17" s="260"/>
      <c r="L17" s="260" t="str">
        <f t="shared" ref="L17:L23" si="3">"FT"&amp;$G$2&amp;"-"&amp;L5</f>
        <v>FTE-RSDGAS</v>
      </c>
      <c r="M17" s="263" t="str">
        <f>$D$2&amp;" "&amp;$G$1&amp;" "&amp;EnergyBalance!$C$16&amp; " Sector- "&amp;EnergyBalance!$E$3</f>
        <v>Sector Fuel Existing Residential Sector- Natural Gas</v>
      </c>
      <c r="N17" s="260" t="str">
        <f t="shared" ref="N17:N23" si="4">$E$2</f>
        <v>PJ</v>
      </c>
      <c r="O17" s="260" t="str">
        <f t="shared" ref="O17:O23" si="5">$E$2&amp;"a"</f>
        <v>PJa</v>
      </c>
      <c r="P17" s="260"/>
      <c r="Q17" s="260"/>
      <c r="R17" s="260"/>
    </row>
    <row r="18" spans="2:18" x14ac:dyDescent="0.2">
      <c r="B18" t="str">
        <f t="shared" si="1"/>
        <v>FTE-TRAOIL</v>
      </c>
      <c r="C18" t="str">
        <f t="shared" si="2"/>
        <v>OIL</v>
      </c>
      <c r="D18" t="str">
        <f>$L$6</f>
        <v>TRAOIL</v>
      </c>
      <c r="E18" s="22"/>
      <c r="F18" s="226"/>
      <c r="G18" s="158">
        <v>1</v>
      </c>
      <c r="H18" s="159">
        <v>30</v>
      </c>
      <c r="J18" s="260"/>
      <c r="K18" s="260"/>
      <c r="L18" s="260" t="str">
        <f t="shared" si="3"/>
        <v>FTE-TRAOIL</v>
      </c>
      <c r="M18" s="263" t="str">
        <f>$D$2&amp;" "&amp;$G$1&amp;" "&amp;EnergyBalance!$C$20&amp; " Sector- "&amp;EnergyBalance!$F$3</f>
        <v>Sector Fuel Existing Transport Sector- Crude Oil</v>
      </c>
      <c r="N18" s="260" t="str">
        <f t="shared" si="4"/>
        <v>PJ</v>
      </c>
      <c r="O18" s="260" t="str">
        <f t="shared" si="5"/>
        <v>PJa</v>
      </c>
      <c r="P18" s="260"/>
      <c r="Q18" s="260"/>
      <c r="R18" s="260"/>
    </row>
    <row r="19" spans="2:18" x14ac:dyDescent="0.2">
      <c r="B19" t="str">
        <f t="shared" si="1"/>
        <v>FTE-ELCCOA</v>
      </c>
      <c r="C19" t="str">
        <f t="shared" si="2"/>
        <v>COA</v>
      </c>
      <c r="D19" s="48" t="str">
        <f>L7</f>
        <v>ELCCOA</v>
      </c>
      <c r="E19" s="22"/>
      <c r="F19" s="9"/>
      <c r="G19" s="158">
        <v>1</v>
      </c>
      <c r="H19" s="159">
        <v>30</v>
      </c>
      <c r="J19" s="260"/>
      <c r="K19" s="260"/>
      <c r="L19" s="260" t="str">
        <f t="shared" si="3"/>
        <v>FTE-ELCCOA</v>
      </c>
      <c r="M19" s="263" t="str">
        <f>$D$2&amp;" Technology"&amp;" "&amp;$G$1&amp;" "&amp;M7</f>
        <v>Sector Fuel Technology Existing Electricity Plants Solid Fuels</v>
      </c>
      <c r="N19" s="260" t="str">
        <f t="shared" si="4"/>
        <v>PJ</v>
      </c>
      <c r="O19" s="260" t="str">
        <f t="shared" si="5"/>
        <v>PJa</v>
      </c>
      <c r="P19" s="260"/>
      <c r="Q19" s="260"/>
      <c r="R19" s="260"/>
    </row>
    <row r="20" spans="2:18" x14ac:dyDescent="0.2">
      <c r="B20" t="str">
        <f t="shared" si="1"/>
        <v>FTE-ELCGAS</v>
      </c>
      <c r="C20" t="str">
        <f t="shared" si="2"/>
        <v>GAS</v>
      </c>
      <c r="D20" s="48" t="str">
        <f>L8</f>
        <v>ELCGAS</v>
      </c>
      <c r="E20" s="22"/>
      <c r="F20" s="9"/>
      <c r="G20" s="158">
        <v>1</v>
      </c>
      <c r="H20" s="159">
        <v>30</v>
      </c>
      <c r="J20" s="260"/>
      <c r="K20" s="260"/>
      <c r="L20" s="260" t="str">
        <f t="shared" si="3"/>
        <v>FTE-ELCGAS</v>
      </c>
      <c r="M20" s="263" t="str">
        <f>$D$2&amp;" Technology"&amp;" "&amp;$G$1&amp;" "&amp;M8</f>
        <v>Sector Fuel Technology Existing Electricity Plants Natural Gas</v>
      </c>
      <c r="N20" s="260" t="str">
        <f t="shared" si="4"/>
        <v>PJ</v>
      </c>
      <c r="O20" s="260" t="str">
        <f t="shared" si="5"/>
        <v>PJa</v>
      </c>
      <c r="P20" s="260"/>
      <c r="Q20" s="260"/>
      <c r="R20" s="260"/>
    </row>
    <row r="21" spans="2:18" x14ac:dyDescent="0.2">
      <c r="B21" t="str">
        <f t="shared" si="1"/>
        <v>FTE-ELCOIL</v>
      </c>
      <c r="C21" t="str">
        <f t="shared" si="2"/>
        <v>OIL</v>
      </c>
      <c r="D21" s="48" t="str">
        <f>L9</f>
        <v>ELCOIL</v>
      </c>
      <c r="E21" s="22"/>
      <c r="F21" s="9"/>
      <c r="G21" s="158">
        <v>1</v>
      </c>
      <c r="H21" s="159">
        <v>30</v>
      </c>
      <c r="J21" s="260"/>
      <c r="K21" s="260"/>
      <c r="L21" s="260" t="str">
        <f t="shared" si="3"/>
        <v>FTE-ELCOIL</v>
      </c>
      <c r="M21" s="264" t="str">
        <f>$D$2&amp;" Technology"&amp;" "&amp;$G$1&amp;" "&amp;M9</f>
        <v>Sector Fuel Technology Existing Electricity Plants Crude Oil</v>
      </c>
      <c r="N21" s="260" t="str">
        <f t="shared" si="4"/>
        <v>PJ</v>
      </c>
      <c r="O21" s="260" t="str">
        <f t="shared" si="5"/>
        <v>PJa</v>
      </c>
      <c r="P21" s="260"/>
      <c r="Q21" s="260"/>
      <c r="R21" s="260"/>
    </row>
    <row r="22" spans="2:18" x14ac:dyDescent="0.2">
      <c r="B22" t="str">
        <f t="shared" si="1"/>
        <v>FTE-ELCRNW</v>
      </c>
      <c r="C22" t="str">
        <f t="shared" si="2"/>
        <v>RNW</v>
      </c>
      <c r="D22" s="48" t="str">
        <f>L10</f>
        <v>ELCRNW</v>
      </c>
      <c r="E22" s="22"/>
      <c r="F22" s="9"/>
      <c r="G22" s="158">
        <v>1</v>
      </c>
      <c r="H22" s="159">
        <v>30</v>
      </c>
      <c r="J22" s="260"/>
      <c r="K22" s="260"/>
      <c r="L22" s="260" t="str">
        <f t="shared" si="3"/>
        <v>FTE-ELCRNW</v>
      </c>
      <c r="M22" s="263" t="str">
        <f>$D$2&amp;" Technology"&amp;" "&amp;$G$1&amp;" "&amp;M10</f>
        <v>Sector Fuel Technology Existing Electricity Plants Renewable Energies</v>
      </c>
      <c r="N22" s="260" t="str">
        <f t="shared" si="4"/>
        <v>PJ</v>
      </c>
      <c r="O22" s="260" t="str">
        <f t="shared" si="5"/>
        <v>PJa</v>
      </c>
      <c r="P22" s="260"/>
      <c r="Q22" s="260"/>
      <c r="R22" s="260"/>
    </row>
    <row r="23" spans="2:18" x14ac:dyDescent="0.2">
      <c r="B23" t="str">
        <f t="shared" si="1"/>
        <v>FTE-ELCNUC</v>
      </c>
      <c r="C23" t="str">
        <f t="shared" si="2"/>
        <v>NUC</v>
      </c>
      <c r="D23" s="48" t="str">
        <f>L11</f>
        <v>ELCNUC</v>
      </c>
      <c r="E23" s="22"/>
      <c r="F23" s="9"/>
      <c r="G23" s="158">
        <v>1</v>
      </c>
      <c r="H23" s="159">
        <v>30</v>
      </c>
      <c r="J23" s="265"/>
      <c r="K23" s="266"/>
      <c r="L23" s="260" t="str">
        <f t="shared" si="3"/>
        <v>FTE-ELCNUC</v>
      </c>
      <c r="M23" s="263" t="str">
        <f>$D$2&amp;" Technology"&amp;" "&amp;$G$1&amp;" "&amp;M11</f>
        <v>Sector Fuel Technology Existing Electricity Plants Nuclear Energy</v>
      </c>
      <c r="N23" s="260" t="str">
        <f t="shared" si="4"/>
        <v>PJ</v>
      </c>
      <c r="O23" s="260" t="str">
        <f t="shared" si="5"/>
        <v>PJa</v>
      </c>
      <c r="P23" s="260"/>
      <c r="Q23" s="260"/>
      <c r="R23" s="260"/>
    </row>
    <row r="24" spans="2:18" x14ac:dyDescent="0.2">
      <c r="J24" s="49"/>
      <c r="K24" s="48"/>
      <c r="P24" s="9"/>
      <c r="Q24" s="9"/>
      <c r="R24" s="9"/>
    </row>
    <row r="25" spans="2:18" x14ac:dyDescent="0.2">
      <c r="J25" s="48"/>
      <c r="K25" s="48"/>
      <c r="P25" s="9"/>
      <c r="Q25" s="9"/>
      <c r="R25" s="9"/>
    </row>
    <row r="26" spans="2:18" x14ac:dyDescent="0.2">
      <c r="J26" s="56"/>
      <c r="K26" s="52"/>
      <c r="P26" s="9"/>
      <c r="Q26" s="9"/>
      <c r="R26" s="9"/>
    </row>
    <row r="27" spans="2:18" x14ac:dyDescent="0.2">
      <c r="J27" s="57"/>
      <c r="K27" s="57"/>
      <c r="P27" s="57"/>
      <c r="Q27" s="57"/>
      <c r="R27" s="9"/>
    </row>
    <row r="28" spans="2:18" x14ac:dyDescent="0.2">
      <c r="J28" s="9"/>
      <c r="K28" s="9"/>
      <c r="L28" s="9"/>
      <c r="M28" s="9"/>
      <c r="N28" s="9"/>
      <c r="O28" s="9"/>
      <c r="P28" s="9"/>
      <c r="Q28" s="9"/>
      <c r="R28" s="9"/>
    </row>
    <row r="32" spans="2:18" x14ac:dyDescent="0.2">
      <c r="B32" s="80"/>
      <c r="C32" s="1" t="s">
        <v>199</v>
      </c>
    </row>
    <row r="33" spans="2:3" x14ac:dyDescent="0.2">
      <c r="B33" s="156"/>
      <c r="C33" s="1" t="s">
        <v>200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E37"/>
  <sheetViews>
    <sheetView zoomScale="90" zoomScaleNormal="90" workbookViewId="0">
      <selection activeCell="AC12" sqref="AC12"/>
    </sheetView>
  </sheetViews>
  <sheetFormatPr defaultColWidth="8.85546875" defaultRowHeight="12.75" x14ac:dyDescent="0.2"/>
  <cols>
    <col min="1" max="1" width="3" style="48" customWidth="1"/>
    <col min="2" max="2" width="16.42578125" style="48" customWidth="1"/>
    <col min="3" max="3" width="12.140625" style="48" bestFit="1" customWidth="1"/>
    <col min="4" max="4" width="11.28515625" style="48" bestFit="1" customWidth="1"/>
    <col min="5" max="5" width="8.7109375" style="48" customWidth="1"/>
    <col min="6" max="6" width="9.42578125" style="48" customWidth="1"/>
    <col min="7" max="8" width="13.7109375" style="48" customWidth="1"/>
    <col min="9" max="9" width="8" style="48" customWidth="1"/>
    <col min="10" max="10" width="7.7109375" style="48" customWidth="1"/>
    <col min="11" max="11" width="10.5703125" style="48" customWidth="1"/>
    <col min="12" max="12" width="8.140625" style="48" bestFit="1" customWidth="1"/>
    <col min="13" max="13" width="9.85546875" style="48" bestFit="1" customWidth="1"/>
    <col min="14" max="14" width="8.42578125" style="48" customWidth="1"/>
    <col min="15" max="15" width="7" style="48" bestFit="1" customWidth="1"/>
    <col min="16" max="16" width="12" style="48" bestFit="1" customWidth="1"/>
    <col min="17" max="17" width="13.85546875" style="48" customWidth="1"/>
    <col min="18" max="18" width="10.5703125" style="48" customWidth="1"/>
    <col min="19" max="19" width="4.28515625" style="51" customWidth="1"/>
    <col min="20" max="20" width="7.42578125" style="51" customWidth="1"/>
    <col min="21" max="21" width="7" style="51" customWidth="1"/>
    <col min="22" max="22" width="2" style="51" customWidth="1"/>
    <col min="23" max="23" width="10.85546875" customWidth="1"/>
    <col min="24" max="24" width="7.42578125" bestFit="1" customWidth="1"/>
    <col min="25" max="25" width="14.140625" customWidth="1"/>
    <col min="26" max="26" width="50.85546875" bestFit="1" customWidth="1"/>
    <col min="27" max="27" width="6.28515625" customWidth="1"/>
    <col min="28" max="28" width="12" customWidth="1"/>
    <col min="29" max="29" width="13" customWidth="1"/>
    <col min="30" max="30" width="13.7109375" customWidth="1"/>
    <col min="31" max="31" width="7.85546875" customWidth="1"/>
    <col min="32" max="16384" width="8.85546875" style="48"/>
  </cols>
  <sheetData>
    <row r="1" spans="2:31" ht="30" x14ac:dyDescent="0.25">
      <c r="B1" s="43" t="s">
        <v>94</v>
      </c>
      <c r="C1" s="17" t="s">
        <v>96</v>
      </c>
      <c r="D1" s="17" t="s">
        <v>153</v>
      </c>
      <c r="E1" s="43" t="s">
        <v>23</v>
      </c>
      <c r="F1" s="43" t="s">
        <v>159</v>
      </c>
      <c r="G1" s="43" t="s">
        <v>99</v>
      </c>
      <c r="I1" s="43" t="s">
        <v>127</v>
      </c>
      <c r="J1" s="43" t="s">
        <v>206</v>
      </c>
    </row>
    <row r="2" spans="2:31" ht="31.5" x14ac:dyDescent="0.25">
      <c r="B2" s="20" t="str">
        <f>EnergyBalance!B11</f>
        <v>ELC</v>
      </c>
      <c r="C2" s="33" t="str">
        <f>EnergyBalance!C11</f>
        <v>Electricity Plants</v>
      </c>
      <c r="D2" s="33" t="s">
        <v>160</v>
      </c>
      <c r="E2" s="20" t="str">
        <f>EnergyBalance!R2</f>
        <v>PJ</v>
      </c>
      <c r="F2" s="20" t="s">
        <v>161</v>
      </c>
      <c r="G2" s="20" t="str">
        <f>EnergyBalance!Q2</f>
        <v>M€2005</v>
      </c>
      <c r="I2" s="20" t="s">
        <v>128</v>
      </c>
      <c r="J2" s="20" t="s">
        <v>129</v>
      </c>
      <c r="W2" s="254" t="s">
        <v>14</v>
      </c>
      <c r="X2" s="254"/>
      <c r="Y2" s="255"/>
      <c r="Z2" s="255"/>
      <c r="AA2" s="255"/>
      <c r="AB2" s="255"/>
      <c r="AC2" s="255"/>
      <c r="AD2" s="255"/>
      <c r="AE2" s="255"/>
    </row>
    <row r="3" spans="2:31" x14ac:dyDescent="0.2">
      <c r="W3" s="256" t="s">
        <v>7</v>
      </c>
      <c r="X3" s="257" t="s">
        <v>30</v>
      </c>
      <c r="Y3" s="256" t="s">
        <v>0</v>
      </c>
      <c r="Z3" s="256" t="s">
        <v>3</v>
      </c>
      <c r="AA3" s="256" t="s">
        <v>4</v>
      </c>
      <c r="AB3" s="256" t="s">
        <v>8</v>
      </c>
      <c r="AC3" s="256" t="s">
        <v>9</v>
      </c>
      <c r="AD3" s="256" t="s">
        <v>10</v>
      </c>
      <c r="AE3" s="256" t="s">
        <v>12</v>
      </c>
    </row>
    <row r="4" spans="2:31" s="50" customFormat="1" ht="35.25" thickBot="1" x14ac:dyDescent="0.3">
      <c r="B4" s="59" t="s">
        <v>167</v>
      </c>
      <c r="C4" s="17" t="s">
        <v>174</v>
      </c>
      <c r="D4" s="17" t="s">
        <v>168</v>
      </c>
      <c r="E4" s="17" t="s">
        <v>169</v>
      </c>
      <c r="F4" s="17" t="s">
        <v>191</v>
      </c>
      <c r="H4" s="18"/>
      <c r="S4" s="51"/>
      <c r="T4" s="51"/>
      <c r="U4" s="51"/>
      <c r="V4" s="51"/>
      <c r="W4" s="258" t="s">
        <v>40</v>
      </c>
      <c r="X4" s="258" t="s">
        <v>31</v>
      </c>
      <c r="Y4" s="258" t="s">
        <v>26</v>
      </c>
      <c r="Z4" s="258" t="s">
        <v>27</v>
      </c>
      <c r="AA4" s="258" t="s">
        <v>4</v>
      </c>
      <c r="AB4" s="258" t="s">
        <v>43</v>
      </c>
      <c r="AC4" s="258" t="s">
        <v>44</v>
      </c>
      <c r="AD4" s="258" t="s">
        <v>28</v>
      </c>
      <c r="AE4" s="258" t="s">
        <v>29</v>
      </c>
    </row>
    <row r="5" spans="2:31" s="50" customFormat="1" ht="15.75" x14ac:dyDescent="0.25">
      <c r="B5" s="58" t="s">
        <v>173</v>
      </c>
      <c r="C5" s="20" t="s">
        <v>172</v>
      </c>
      <c r="D5" s="20" t="s">
        <v>171</v>
      </c>
      <c r="E5" s="20" t="s">
        <v>170</v>
      </c>
      <c r="F5" s="20" t="s">
        <v>129</v>
      </c>
      <c r="H5" s="18"/>
      <c r="S5" s="51"/>
      <c r="T5" s="51"/>
      <c r="U5" s="51"/>
      <c r="V5" s="51"/>
      <c r="W5" s="259" t="s">
        <v>93</v>
      </c>
      <c r="X5" s="260"/>
      <c r="Y5" s="259" t="str">
        <f>EnergyBalance!$K$2</f>
        <v>ELC</v>
      </c>
      <c r="Z5" s="259" t="str">
        <f>EnergyBalance!$K$3</f>
        <v>Electricity</v>
      </c>
      <c r="AA5" s="259" t="str">
        <f>$E$2</f>
        <v>PJ</v>
      </c>
      <c r="AB5" s="259"/>
      <c r="AC5" s="259" t="s">
        <v>183</v>
      </c>
      <c r="AD5" s="259"/>
      <c r="AE5" s="259" t="s">
        <v>54</v>
      </c>
    </row>
    <row r="6" spans="2:31" x14ac:dyDescent="0.2">
      <c r="W6" s="261" t="s">
        <v>144</v>
      </c>
      <c r="X6" s="261"/>
      <c r="Y6" s="261" t="str">
        <f>$B$2&amp;EnergyBalance!$C$52</f>
        <v>ELCCO2</v>
      </c>
      <c r="Z6" s="261" t="str">
        <f>$C$2&amp;" "&amp;EnergyBalance!$C$53</f>
        <v>Electricity Plants Carbon dioxide</v>
      </c>
      <c r="AA6" s="261" t="str">
        <f>EnergyBalance!$S$2</f>
        <v>kt</v>
      </c>
      <c r="AB6" s="261"/>
      <c r="AC6" s="261"/>
      <c r="AD6" s="261"/>
      <c r="AE6" s="261"/>
    </row>
    <row r="7" spans="2:31" x14ac:dyDescent="0.2">
      <c r="W7" s="2"/>
      <c r="X7" s="2"/>
    </row>
    <row r="8" spans="2:31" x14ac:dyDescent="0.2">
      <c r="D8" s="7" t="s">
        <v>13</v>
      </c>
      <c r="E8" s="7"/>
      <c r="F8" s="7"/>
      <c r="G8" s="7"/>
      <c r="H8" s="7"/>
      <c r="I8" s="7"/>
      <c r="K8" s="7"/>
      <c r="L8" s="8"/>
      <c r="M8" s="8"/>
      <c r="N8" s="6"/>
      <c r="O8" s="178"/>
      <c r="S8" s="50"/>
      <c r="T8" s="48"/>
      <c r="U8" s="48"/>
      <c r="W8" s="254" t="s">
        <v>15</v>
      </c>
      <c r="X8" s="254"/>
      <c r="Y8" s="255"/>
      <c r="Z8" s="255"/>
      <c r="AA8" s="255"/>
      <c r="AB8" s="255"/>
      <c r="AC8" s="255"/>
      <c r="AD8" s="255"/>
      <c r="AE8" s="255"/>
    </row>
    <row r="9" spans="2:31" ht="25.5" x14ac:dyDescent="0.2">
      <c r="B9" s="29" t="s">
        <v>1</v>
      </c>
      <c r="C9" s="29" t="s">
        <v>5</v>
      </c>
      <c r="D9" s="29" t="s">
        <v>6</v>
      </c>
      <c r="E9" s="193" t="s">
        <v>208</v>
      </c>
      <c r="F9" s="193" t="s">
        <v>209</v>
      </c>
      <c r="G9" s="193" t="s">
        <v>210</v>
      </c>
      <c r="H9" s="193" t="s">
        <v>211</v>
      </c>
      <c r="I9" s="194" t="s">
        <v>109</v>
      </c>
      <c r="J9" s="194" t="s">
        <v>125</v>
      </c>
      <c r="K9" s="194" t="s">
        <v>107</v>
      </c>
      <c r="L9" s="194" t="s">
        <v>108</v>
      </c>
      <c r="M9" s="194" t="s">
        <v>163</v>
      </c>
      <c r="N9" s="193" t="s">
        <v>102</v>
      </c>
      <c r="O9" s="193" t="s">
        <v>205</v>
      </c>
      <c r="P9" s="193" t="s">
        <v>130</v>
      </c>
      <c r="Q9" s="193" t="s">
        <v>215</v>
      </c>
      <c r="R9" s="193" t="s">
        <v>185</v>
      </c>
      <c r="S9" s="54"/>
      <c r="T9" s="276" t="s">
        <v>175</v>
      </c>
      <c r="U9" s="276"/>
      <c r="V9" s="66"/>
      <c r="W9" s="256" t="s">
        <v>11</v>
      </c>
      <c r="X9" s="257" t="s">
        <v>30</v>
      </c>
      <c r="Y9" s="256" t="s">
        <v>1</v>
      </c>
      <c r="Z9" s="256" t="s">
        <v>2</v>
      </c>
      <c r="AA9" s="256" t="s">
        <v>16</v>
      </c>
      <c r="AB9" s="256" t="s">
        <v>17</v>
      </c>
      <c r="AC9" s="256" t="s">
        <v>18</v>
      </c>
      <c r="AD9" s="256" t="s">
        <v>19</v>
      </c>
      <c r="AE9" s="256" t="s">
        <v>20</v>
      </c>
    </row>
    <row r="10" spans="2:31" ht="23.45" customHeight="1" thickBot="1" x14ac:dyDescent="0.25">
      <c r="B10" s="27" t="s">
        <v>42</v>
      </c>
      <c r="C10" s="27" t="s">
        <v>32</v>
      </c>
      <c r="D10" s="27" t="s">
        <v>33</v>
      </c>
      <c r="E10" s="192" t="s">
        <v>34</v>
      </c>
      <c r="F10" s="192" t="s">
        <v>34</v>
      </c>
      <c r="G10" s="195" t="s">
        <v>187</v>
      </c>
      <c r="H10" s="192" t="s">
        <v>187</v>
      </c>
      <c r="I10" s="192" t="s">
        <v>114</v>
      </c>
      <c r="J10" s="195" t="s">
        <v>126</v>
      </c>
      <c r="K10" s="192" t="s">
        <v>123</v>
      </c>
      <c r="L10" s="192" t="s">
        <v>122</v>
      </c>
      <c r="M10" s="192" t="s">
        <v>165</v>
      </c>
      <c r="N10" s="243" t="s">
        <v>216</v>
      </c>
      <c r="O10" s="192"/>
      <c r="P10" s="192" t="s">
        <v>143</v>
      </c>
      <c r="Q10" s="192" t="s">
        <v>166</v>
      </c>
      <c r="R10" s="192" t="s">
        <v>186</v>
      </c>
      <c r="S10" s="50"/>
      <c r="T10" s="275" t="s">
        <v>164</v>
      </c>
      <c r="U10" s="275"/>
      <c r="V10" s="67"/>
      <c r="W10" s="258" t="s">
        <v>41</v>
      </c>
      <c r="X10" s="258" t="s">
        <v>31</v>
      </c>
      <c r="Y10" s="258" t="s">
        <v>21</v>
      </c>
      <c r="Z10" s="258" t="s">
        <v>22</v>
      </c>
      <c r="AA10" s="258" t="s">
        <v>23</v>
      </c>
      <c r="AB10" s="258" t="s">
        <v>24</v>
      </c>
      <c r="AC10" s="258" t="s">
        <v>46</v>
      </c>
      <c r="AD10" s="258" t="s">
        <v>45</v>
      </c>
      <c r="AE10" s="258" t="s">
        <v>25</v>
      </c>
    </row>
    <row r="11" spans="2:31" ht="23.25" thickBot="1" x14ac:dyDescent="0.25">
      <c r="B11" s="26" t="s">
        <v>115</v>
      </c>
      <c r="C11" s="26"/>
      <c r="D11" s="26"/>
      <c r="E11" s="24" t="str">
        <f>$F$2</f>
        <v>GW</v>
      </c>
      <c r="F11" s="24" t="str">
        <f>$F$2</f>
        <v>GW</v>
      </c>
      <c r="G11" s="196" t="str">
        <f>$F$2</f>
        <v>GW</v>
      </c>
      <c r="H11" s="24" t="str">
        <f>$F$2</f>
        <v>GW</v>
      </c>
      <c r="I11" s="24"/>
      <c r="J11" s="196"/>
      <c r="K11" s="24" t="str">
        <f>$G$2&amp;"/"&amp;$F$2</f>
        <v>M€2005/GW</v>
      </c>
      <c r="L11" s="24" t="str">
        <f>$G$2&amp;"/"&amp;F2</f>
        <v>M€2005/GW</v>
      </c>
      <c r="M11" s="24" t="str">
        <f>$G$2&amp;"/"&amp;$E$2</f>
        <v>M€2005/PJ</v>
      </c>
      <c r="N11" s="24" t="s">
        <v>116</v>
      </c>
      <c r="O11" s="24"/>
      <c r="P11" s="24" t="str">
        <f>EnergyBalance!$S$2</f>
        <v>kt</v>
      </c>
      <c r="Q11" s="24" t="str">
        <f>$E$2&amp;"/"&amp;$F$2</f>
        <v>PJ/GW</v>
      </c>
      <c r="R11" s="24"/>
      <c r="S11" s="50"/>
      <c r="T11" s="228" t="s">
        <v>189</v>
      </c>
      <c r="U11" s="227" t="s">
        <v>190</v>
      </c>
      <c r="V11" s="67"/>
      <c r="W11" s="258" t="s">
        <v>104</v>
      </c>
      <c r="X11" s="258"/>
      <c r="Y11" s="258"/>
      <c r="Z11" s="258"/>
      <c r="AA11" s="258"/>
      <c r="AB11" s="258"/>
      <c r="AC11" s="258"/>
      <c r="AD11" s="258"/>
      <c r="AE11" s="258"/>
    </row>
    <row r="12" spans="2:31" x14ac:dyDescent="0.2">
      <c r="B12" s="48" t="str">
        <f>Y12</f>
        <v>ELCTECOA00</v>
      </c>
      <c r="C12" s="48" t="str">
        <f>$B$2&amp;RIGHT(Sector_Fuels!$L$7,3)</f>
        <v>ELCCOA</v>
      </c>
      <c r="D12" s="48" t="str">
        <f>$Y$5</f>
        <v>ELC</v>
      </c>
      <c r="E12" s="181">
        <f>(-'EB1'!$D$11*$I$12)/($J$12*$Q$12)</f>
        <v>137.49657086578924</v>
      </c>
      <c r="F12" s="181">
        <f>(-'EB2'!$D$11*$I$12)/($J$12*$Q$12)</f>
        <v>0</v>
      </c>
      <c r="G12" s="181"/>
      <c r="H12" s="181"/>
      <c r="I12" s="230">
        <v>0.38400000000000001</v>
      </c>
      <c r="J12" s="230">
        <v>0.85</v>
      </c>
      <c r="K12" s="229"/>
      <c r="L12" s="230">
        <v>40</v>
      </c>
      <c r="M12" s="230">
        <v>0.5</v>
      </c>
      <c r="N12" s="229">
        <v>30</v>
      </c>
      <c r="O12"/>
      <c r="Q12" s="239">
        <v>31.536000000000001</v>
      </c>
      <c r="R12" s="230">
        <v>1</v>
      </c>
      <c r="S12" s="50"/>
      <c r="T12" s="65">
        <f>E12*$J12*$Q12</f>
        <v>3685.6780800000001</v>
      </c>
      <c r="U12" s="179">
        <f>F12*$J12*$Q12</f>
        <v>0</v>
      </c>
      <c r="V12" s="67"/>
      <c r="W12" s="260" t="s">
        <v>162</v>
      </c>
      <c r="X12" s="260"/>
      <c r="Y12" s="260" t="str">
        <f>$B$2&amp;$C$5&amp;$I$2&amp;RIGHT(Sector_Fuels!$L$7,3)&amp;"00"</f>
        <v>ELCTECOA00</v>
      </c>
      <c r="Z12" s="264" t="str">
        <f>$D$2&amp;" "&amp;$I$1&amp;RIGHT(Y12,2)&amp;" - "&amp;EnergyBalance!D3</f>
        <v>Power Plants Existing00 - Solid Fuels</v>
      </c>
      <c r="AA12" s="260" t="str">
        <f t="shared" ref="AA12:AA19" si="0">$E$2</f>
        <v>PJ</v>
      </c>
      <c r="AB12" s="260" t="str">
        <f t="shared" ref="AB12:AB19" si="1">$F$2</f>
        <v>GW</v>
      </c>
      <c r="AC12" s="259" t="s">
        <v>184</v>
      </c>
      <c r="AD12" s="260"/>
      <c r="AE12" s="260"/>
    </row>
    <row r="13" spans="2:31" x14ac:dyDescent="0.2">
      <c r="D13" s="48" t="str">
        <f>$Y$6</f>
        <v>ELCCO2</v>
      </c>
      <c r="E13" s="181"/>
      <c r="F13" s="181"/>
      <c r="G13" s="181"/>
      <c r="H13" s="181"/>
      <c r="I13" s="230"/>
      <c r="J13" s="230"/>
      <c r="K13" s="229"/>
      <c r="L13" s="230"/>
      <c r="M13" s="230"/>
      <c r="N13" s="229"/>
      <c r="O13"/>
      <c r="P13" s="234">
        <f>99.8/I12</f>
        <v>259.89583333333331</v>
      </c>
      <c r="Q13"/>
      <c r="R13" s="232"/>
      <c r="S13" s="50"/>
      <c r="T13" s="65"/>
      <c r="U13" s="179"/>
      <c r="V13" s="68"/>
      <c r="W13" s="260"/>
      <c r="X13" s="260"/>
      <c r="Y13" s="260" t="str">
        <f>$B$2&amp;$C$5&amp;$I$2&amp;RIGHT(Sector_Fuels!$L$8,3)&amp;"00"</f>
        <v>ELCTEGAS00</v>
      </c>
      <c r="Z13" s="264" t="str">
        <f>$D$2&amp;" "&amp;$I$1&amp;RIGHT(Y13,2)&amp;" - "&amp;EnergyBalance!E3</f>
        <v>Power Plants Existing00 - Natural Gas</v>
      </c>
      <c r="AA13" s="260" t="str">
        <f t="shared" si="0"/>
        <v>PJ</v>
      </c>
      <c r="AB13" s="260" t="str">
        <f t="shared" si="1"/>
        <v>GW</v>
      </c>
      <c r="AC13" s="260"/>
      <c r="AD13" s="260"/>
      <c r="AE13" s="260"/>
    </row>
    <row r="14" spans="2:31" x14ac:dyDescent="0.2">
      <c r="B14" s="48" t="str">
        <f>Y13</f>
        <v>ELCTEGAS00</v>
      </c>
      <c r="C14" s="48" t="str">
        <f>$B$2&amp;RIGHT(Sector_Fuels!$L$8,3)</f>
        <v>ELCGAS</v>
      </c>
      <c r="D14" s="48" t="str">
        <f>$Y$5</f>
        <v>ELC</v>
      </c>
      <c r="E14" s="181">
        <f>(-'EB1'!$E$11*$I$14)/($J$14*$Q$14)</f>
        <v>0</v>
      </c>
      <c r="F14" s="181">
        <f>(-'EB2'!$E$11*$I$14)/($J$14*$Q$14)</f>
        <v>103.62609445787447</v>
      </c>
      <c r="G14" s="181"/>
      <c r="H14" s="181"/>
      <c r="I14" s="233">
        <v>0.4929</v>
      </c>
      <c r="J14" s="230">
        <v>0.85</v>
      </c>
      <c r="K14" s="229"/>
      <c r="L14" s="230">
        <v>35</v>
      </c>
      <c r="M14" s="230">
        <v>0.4</v>
      </c>
      <c r="N14" s="229">
        <v>20</v>
      </c>
      <c r="O14"/>
      <c r="P14" s="55"/>
      <c r="Q14" s="239">
        <v>31.536000000000001</v>
      </c>
      <c r="R14" s="230">
        <v>1</v>
      </c>
      <c r="S14" s="50"/>
      <c r="T14" s="65">
        <f>E14*J14*Q14</f>
        <v>0</v>
      </c>
      <c r="U14" s="179">
        <f>F14*$J14*$Q14</f>
        <v>2777.7596376000001</v>
      </c>
      <c r="V14" s="68"/>
      <c r="W14" s="260"/>
      <c r="X14" s="260"/>
      <c r="Y14" s="260" t="str">
        <f>$B$2&amp;$C$5&amp;$I$2&amp;RIGHT(Sector_Fuels!$L$9,3)&amp;"00"</f>
        <v>ELCTEOIL00</v>
      </c>
      <c r="Z14" s="264" t="str">
        <f>$D$2&amp;" "&amp;$I$1&amp;RIGHT(Y14,2)&amp;" - "&amp;EnergyBalance!F3</f>
        <v>Power Plants Existing00 - Crude Oil</v>
      </c>
      <c r="AA14" s="260" t="str">
        <f t="shared" si="0"/>
        <v>PJ</v>
      </c>
      <c r="AB14" s="260" t="str">
        <f t="shared" si="1"/>
        <v>GW</v>
      </c>
      <c r="AC14" s="260"/>
      <c r="AD14" s="260"/>
      <c r="AE14" s="260"/>
    </row>
    <row r="15" spans="2:31" x14ac:dyDescent="0.2">
      <c r="D15" s="48" t="str">
        <f>$Y$6</f>
        <v>ELCCO2</v>
      </c>
      <c r="E15" s="181"/>
      <c r="F15" s="181"/>
      <c r="G15" s="181"/>
      <c r="H15" s="181"/>
      <c r="I15" s="230"/>
      <c r="J15" s="230"/>
      <c r="K15" s="229"/>
      <c r="L15" s="230"/>
      <c r="M15" s="230"/>
      <c r="N15" s="229"/>
      <c r="O15"/>
      <c r="P15" s="234">
        <f>56.1/I14</f>
        <v>113.81618989653074</v>
      </c>
      <c r="Q15"/>
      <c r="R15" s="232"/>
      <c r="S15" s="50"/>
      <c r="T15" s="65"/>
      <c r="U15" s="179"/>
      <c r="V15" s="68"/>
      <c r="W15" s="260"/>
      <c r="X15" s="260"/>
      <c r="Y15" s="260" t="str">
        <f>$B$2&amp;$E$5&amp;$I$2&amp;RIGHT(Sector_Fuels!$L$10,3)&amp;"00"</f>
        <v>ELCRERNW00</v>
      </c>
      <c r="Z15" s="264" t="str">
        <f>$D$2&amp;" "&amp;$I$1&amp;RIGHT(Y15,2)&amp;" - "&amp;EnergyBalance!H3</f>
        <v>Power Plants Existing00 - Renewable Energies</v>
      </c>
      <c r="AA15" s="260" t="str">
        <f t="shared" si="0"/>
        <v>PJ</v>
      </c>
      <c r="AB15" s="260" t="str">
        <f t="shared" si="1"/>
        <v>GW</v>
      </c>
      <c r="AC15" s="260"/>
      <c r="AD15" s="260"/>
      <c r="AE15" s="260"/>
    </row>
    <row r="16" spans="2:31" x14ac:dyDescent="0.2">
      <c r="B16" s="48" t="str">
        <f>Y14</f>
        <v>ELCTEOIL00</v>
      </c>
      <c r="C16" s="48" t="str">
        <f>$B$2&amp;RIGHT(Sector_Fuels!$L$9,3)</f>
        <v>ELCOIL</v>
      </c>
      <c r="D16" s="48" t="str">
        <f>$Y$5</f>
        <v>ELC</v>
      </c>
      <c r="E16" s="181">
        <f>((-'EB1'!$F$11*$I$16)/($J$16*$Q$16))</f>
        <v>3.4263614692452316</v>
      </c>
      <c r="F16" s="181">
        <f>((-'EB2'!$F$11*$I$16)/($J$16*$Q$16))</f>
        <v>7.9948434282388749</v>
      </c>
      <c r="G16" s="181"/>
      <c r="H16" s="181"/>
      <c r="I16" s="233">
        <v>0.25</v>
      </c>
      <c r="J16" s="233">
        <v>0.85</v>
      </c>
      <c r="K16" s="231"/>
      <c r="L16" s="233">
        <v>20</v>
      </c>
      <c r="M16" s="233">
        <v>0.2</v>
      </c>
      <c r="N16" s="231">
        <v>30</v>
      </c>
      <c r="O16" s="180"/>
      <c r="P16" s="55"/>
      <c r="Q16" s="239">
        <v>31.536000000000001</v>
      </c>
      <c r="R16" s="230">
        <v>1</v>
      </c>
      <c r="S16" s="50"/>
      <c r="T16" s="65">
        <f>E16*J16*Q16</f>
        <v>91.845674999999986</v>
      </c>
      <c r="U16" s="179">
        <f>F16*$J16*$Q16</f>
        <v>214.30657500000001</v>
      </c>
      <c r="V16" s="68"/>
      <c r="W16" s="260"/>
      <c r="X16" s="260"/>
      <c r="Y16" s="260" t="str">
        <f>$B$2&amp;$C$5&amp;$I$2&amp;RIGHT(Sector_Fuels!$L$11,3)&amp;"00"</f>
        <v>ELCTENUC00</v>
      </c>
      <c r="Z16" s="264" t="str">
        <f>$D$2&amp;" "&amp;$I$1&amp;RIGHT(Y16,2)&amp;" - "&amp;EnergyBalance!G3</f>
        <v>Power Plants Existing00 - Nuclear Energy</v>
      </c>
      <c r="AA16" s="260" t="str">
        <f t="shared" si="0"/>
        <v>PJ</v>
      </c>
      <c r="AB16" s="260" t="str">
        <f t="shared" si="1"/>
        <v>GW</v>
      </c>
      <c r="AC16" s="259" t="s">
        <v>184</v>
      </c>
      <c r="AD16" s="260"/>
      <c r="AE16" s="260"/>
    </row>
    <row r="17" spans="2:31" x14ac:dyDescent="0.2">
      <c r="D17" s="48" t="str">
        <f>$Y$6</f>
        <v>ELCCO2</v>
      </c>
      <c r="E17" s="182"/>
      <c r="F17" s="182"/>
      <c r="G17" s="182"/>
      <c r="H17" s="182"/>
      <c r="I17" s="233"/>
      <c r="J17" s="233"/>
      <c r="K17" s="231"/>
      <c r="L17" s="233"/>
      <c r="M17" s="233"/>
      <c r="N17" s="231"/>
      <c r="O17" s="180"/>
      <c r="P17" s="234">
        <f>76.4/I16</f>
        <v>305.60000000000002</v>
      </c>
      <c r="Q17" s="52"/>
      <c r="R17" s="242"/>
      <c r="S17" s="50"/>
      <c r="T17" s="65"/>
      <c r="U17" s="179"/>
      <c r="V17" s="68"/>
      <c r="W17" s="260"/>
      <c r="X17" s="260"/>
      <c r="Y17" s="260" t="str">
        <f>$B$2&amp;$C$5&amp;$J$2&amp;RIGHT(Sector_Fuels!$L$7,3)&amp;"00"</f>
        <v>ELCTNCOA00</v>
      </c>
      <c r="Z17" s="264" t="str">
        <f>$D$2&amp;" "&amp;$J$1&amp;RIGHT(Y17,2)&amp;" - "&amp;EnergyBalance!D3</f>
        <v>Power Plants New00 - Solid Fuels</v>
      </c>
      <c r="AA17" s="260" t="str">
        <f t="shared" si="0"/>
        <v>PJ</v>
      </c>
      <c r="AB17" s="260" t="str">
        <f t="shared" si="1"/>
        <v>GW</v>
      </c>
      <c r="AC17" s="259" t="s">
        <v>184</v>
      </c>
      <c r="AD17" s="260"/>
      <c r="AE17" s="260"/>
    </row>
    <row r="18" spans="2:31" x14ac:dyDescent="0.2">
      <c r="B18" s="48" t="str">
        <f>Y15</f>
        <v>ELCRERNW00</v>
      </c>
      <c r="C18" s="48" t="str">
        <f>$B$2&amp;RIGHT(Sector_Fuels!$L$10,3)</f>
        <v>ELCRNW</v>
      </c>
      <c r="D18" s="48" t="str">
        <f>$Y$5</f>
        <v>ELC</v>
      </c>
      <c r="E18" s="181">
        <f>(-'EB1'!$H$11*$I$18)/($J$18*$Q$18)</f>
        <v>88.483849145949605</v>
      </c>
      <c r="F18" s="181">
        <f>(-'EB2'!$H$11*$I$18)/($J$18*$Q$18)</f>
        <v>0</v>
      </c>
      <c r="G18" s="181">
        <f>E18</f>
        <v>88.483849145949605</v>
      </c>
      <c r="H18" s="181">
        <f>F18</f>
        <v>0</v>
      </c>
      <c r="I18" s="230">
        <v>1</v>
      </c>
      <c r="J18" s="230">
        <v>0.45</v>
      </c>
      <c r="K18" s="229"/>
      <c r="L18" s="230">
        <v>70</v>
      </c>
      <c r="M18" s="230"/>
      <c r="N18" s="183"/>
      <c r="O18"/>
      <c r="P18" s="55"/>
      <c r="Q18" s="239">
        <v>31.536000000000001</v>
      </c>
      <c r="R18" s="230">
        <v>0.5</v>
      </c>
      <c r="S18" s="48"/>
      <c r="T18" s="65">
        <f>E18*J18*Q18</f>
        <v>1255.692</v>
      </c>
      <c r="U18" s="179">
        <f>F18*$J18*$Q18</f>
        <v>0</v>
      </c>
      <c r="V18" s="68"/>
      <c r="W18" s="260"/>
      <c r="X18" s="260"/>
      <c r="Y18" s="260" t="str">
        <f>$B$2&amp;$C$5&amp;$J$2&amp;RIGHT(Sector_Fuels!$L$8,3)&amp;"00"</f>
        <v>ELCTNGAS00</v>
      </c>
      <c r="Z18" s="264" t="str">
        <f>$D$2&amp;" "&amp;$J$1&amp;RIGHT(Y18,2)&amp;" - "&amp;EnergyBalance!E3</f>
        <v>Power Plants New00 - Natural Gas</v>
      </c>
      <c r="AA18" s="260" t="str">
        <f t="shared" si="0"/>
        <v>PJ</v>
      </c>
      <c r="AB18" s="260" t="str">
        <f t="shared" si="1"/>
        <v>GW</v>
      </c>
      <c r="AC18" s="260"/>
      <c r="AD18" s="260"/>
      <c r="AE18" s="260"/>
    </row>
    <row r="19" spans="2:31" x14ac:dyDescent="0.2">
      <c r="B19" s="236" t="str">
        <f>Y16</f>
        <v>ELCTENUC00</v>
      </c>
      <c r="C19" s="236" t="str">
        <f>$B$2&amp;RIGHT(Sector_Fuels!$L$11,3)</f>
        <v>ELCNUC</v>
      </c>
      <c r="D19" s="236" t="str">
        <f>$Y$5</f>
        <v>ELC</v>
      </c>
      <c r="E19" s="249">
        <f>(-'EB1'!$G$11*$I$19)/($J$19*$Q$19)</f>
        <v>0</v>
      </c>
      <c r="F19" s="249">
        <f>(-'EB2'!$G$11*$I$19)/($J$19*$Q$19)</f>
        <v>125.28183557415862</v>
      </c>
      <c r="G19" s="249">
        <f>E19</f>
        <v>0</v>
      </c>
      <c r="H19" s="249">
        <f>F19</f>
        <v>125.28183557415862</v>
      </c>
      <c r="I19" s="250">
        <v>0.33</v>
      </c>
      <c r="J19" s="238">
        <v>0.9</v>
      </c>
      <c r="K19" s="237"/>
      <c r="L19" s="238">
        <v>38</v>
      </c>
      <c r="M19" s="237">
        <v>0.27</v>
      </c>
      <c r="N19" s="235"/>
      <c r="O19" s="236"/>
      <c r="P19" s="240"/>
      <c r="Q19" s="241">
        <v>31.536000000000001</v>
      </c>
      <c r="R19" s="238">
        <v>1</v>
      </c>
      <c r="S19" s="48"/>
      <c r="T19" s="65">
        <f>E19*J19*Q19</f>
        <v>0</v>
      </c>
      <c r="U19" s="179">
        <f>F19*$J19*$Q19</f>
        <v>3555.7991699999998</v>
      </c>
      <c r="V19" s="68"/>
      <c r="W19" s="260"/>
      <c r="X19" s="260"/>
      <c r="Y19" s="260" t="str">
        <f>$B$2&amp;$C$5&amp;$J$2&amp;RIGHT(Sector_Fuels!$L$9,3)&amp;"00"</f>
        <v>ELCTNOIL00</v>
      </c>
      <c r="Z19" s="264" t="str">
        <f>$D$2&amp;" "&amp;$J$1&amp;RIGHT(Y19,2)&amp;" - "&amp;EnergyBalance!F3</f>
        <v>Power Plants New00 - Crude Oil</v>
      </c>
      <c r="AA19" s="260" t="str">
        <f t="shared" si="0"/>
        <v>PJ</v>
      </c>
      <c r="AB19" s="260" t="str">
        <f t="shared" si="1"/>
        <v>GW</v>
      </c>
      <c r="AC19" s="260"/>
      <c r="AD19" s="260"/>
      <c r="AE19" s="260"/>
    </row>
    <row r="20" spans="2:31" x14ac:dyDescent="0.2">
      <c r="B20" s="48" t="str">
        <f>Y17</f>
        <v>ELCTNCOA00</v>
      </c>
      <c r="C20" s="48" t="str">
        <f>$B$2&amp;RIGHT(Sector_Fuels!$L$7,3)</f>
        <v>ELCCOA</v>
      </c>
      <c r="D20" s="48" t="str">
        <f>$Y$5</f>
        <v>ELC</v>
      </c>
      <c r="E20" s="55"/>
      <c r="F20" s="55"/>
      <c r="G20" s="55"/>
      <c r="H20" s="55"/>
      <c r="I20" s="230">
        <v>0.42</v>
      </c>
      <c r="J20" s="230">
        <v>0.85</v>
      </c>
      <c r="K20" s="229">
        <v>1650</v>
      </c>
      <c r="L20" s="230">
        <v>35</v>
      </c>
      <c r="M20" s="230">
        <v>0.4</v>
      </c>
      <c r="N20" s="229">
        <v>40</v>
      </c>
      <c r="O20" s="234">
        <v>2006</v>
      </c>
      <c r="P20" s="55"/>
      <c r="Q20" s="239">
        <v>31.536000000000001</v>
      </c>
      <c r="R20" s="230">
        <v>1</v>
      </c>
      <c r="S20" s="48"/>
      <c r="T20" s="48"/>
      <c r="U20" s="48"/>
      <c r="V20" s="68"/>
      <c r="W20" s="9"/>
      <c r="X20" s="9"/>
      <c r="Y20" s="9"/>
      <c r="Z20" s="9"/>
      <c r="AA20" s="9"/>
      <c r="AB20" s="9"/>
      <c r="AC20" s="9"/>
      <c r="AD20" s="9"/>
      <c r="AE20" s="9"/>
    </row>
    <row r="21" spans="2:31" x14ac:dyDescent="0.2">
      <c r="D21" s="48" t="str">
        <f>$Y$6</f>
        <v>ELCCO2</v>
      </c>
      <c r="E21" s="55"/>
      <c r="F21" s="55"/>
      <c r="G21" s="55"/>
      <c r="H21" s="55"/>
      <c r="I21" s="230"/>
      <c r="J21" s="230"/>
      <c r="K21" s="229"/>
      <c r="L21" s="230"/>
      <c r="M21" s="230"/>
      <c r="N21" s="229"/>
      <c r="O21" s="55"/>
      <c r="P21" s="234">
        <f>99.8/I20</f>
        <v>237.61904761904762</v>
      </c>
      <c r="Q21"/>
      <c r="R21" s="232"/>
      <c r="S21" s="48"/>
      <c r="T21" s="48"/>
      <c r="U21" s="48"/>
    </row>
    <row r="22" spans="2:31" x14ac:dyDescent="0.2">
      <c r="B22" s="48" t="str">
        <f>Y18</f>
        <v>ELCTNGAS00</v>
      </c>
      <c r="C22" s="48" t="str">
        <f>$B$2&amp;RIGHT(Sector_Fuels!$L$8,3)</f>
        <v>ELCGAS</v>
      </c>
      <c r="D22" s="48" t="str">
        <f>$Y$5</f>
        <v>ELC</v>
      </c>
      <c r="I22" s="229">
        <v>0.52</v>
      </c>
      <c r="J22" s="230">
        <v>0.85</v>
      </c>
      <c r="K22" s="229">
        <v>750</v>
      </c>
      <c r="L22" s="230">
        <v>30</v>
      </c>
      <c r="M22" s="230">
        <v>0.35</v>
      </c>
      <c r="N22" s="229">
        <v>30</v>
      </c>
      <c r="O22" s="234">
        <v>2006</v>
      </c>
      <c r="P22" s="55"/>
      <c r="Q22" s="239">
        <v>31.536000000000001</v>
      </c>
      <c r="R22" s="230">
        <v>1</v>
      </c>
      <c r="S22" s="48"/>
      <c r="T22" s="48"/>
      <c r="U22" s="48"/>
    </row>
    <row r="23" spans="2:31" x14ac:dyDescent="0.2">
      <c r="D23" s="48" t="str">
        <f>$Y$6</f>
        <v>ELCCO2</v>
      </c>
      <c r="I23" s="229"/>
      <c r="J23" s="229"/>
      <c r="K23" s="229"/>
      <c r="L23" s="230"/>
      <c r="M23" s="230"/>
      <c r="N23" s="229"/>
      <c r="O23" s="55"/>
      <c r="P23" s="234">
        <f>56.1/I22</f>
        <v>107.88461538461539</v>
      </c>
      <c r="Q23"/>
      <c r="R23" s="232"/>
      <c r="S23" s="48"/>
      <c r="T23" s="48"/>
      <c r="U23" s="48"/>
    </row>
    <row r="24" spans="2:31" x14ac:dyDescent="0.2">
      <c r="B24" s="48" t="str">
        <f>Y19</f>
        <v>ELCTNOIL00</v>
      </c>
      <c r="C24" s="48" t="str">
        <f>$B$2&amp;RIGHT(Sector_Fuels!$L$9,3)</f>
        <v>ELCOIL</v>
      </c>
      <c r="D24" s="48" t="str">
        <f>$Y$5</f>
        <v>ELC</v>
      </c>
      <c r="I24" s="230">
        <v>0.3</v>
      </c>
      <c r="J24" s="230">
        <v>0.85</v>
      </c>
      <c r="K24" s="231">
        <v>250</v>
      </c>
      <c r="L24" s="233">
        <v>15</v>
      </c>
      <c r="M24" s="233">
        <v>0.2</v>
      </c>
      <c r="N24" s="229">
        <v>40</v>
      </c>
      <c r="O24" s="234">
        <v>2005</v>
      </c>
      <c r="P24" s="55"/>
      <c r="Q24" s="239">
        <v>31.536000000000001</v>
      </c>
      <c r="R24" s="230">
        <v>1</v>
      </c>
      <c r="S24" s="48"/>
      <c r="T24" s="48"/>
      <c r="U24" s="48"/>
    </row>
    <row r="25" spans="2:31" x14ac:dyDescent="0.2">
      <c r="D25" s="48" t="str">
        <f>$Y$6</f>
        <v>ELCCO2</v>
      </c>
      <c r="I25" s="229"/>
      <c r="J25" s="229"/>
      <c r="K25" s="229"/>
      <c r="L25" s="229"/>
      <c r="M25" s="229"/>
      <c r="N25" s="229"/>
      <c r="O25" s="50"/>
      <c r="P25" s="234">
        <f>76.4/I24</f>
        <v>254.66666666666669</v>
      </c>
      <c r="Q25"/>
      <c r="R25"/>
      <c r="S25" s="48"/>
      <c r="T25" s="48"/>
      <c r="U25" s="48"/>
    </row>
    <row r="27" spans="2:31" x14ac:dyDescent="0.2">
      <c r="T27" s="253"/>
      <c r="U27" s="253"/>
    </row>
    <row r="28" spans="2:31" x14ac:dyDescent="0.2">
      <c r="U28" s="253"/>
    </row>
    <row r="30" spans="2:31" x14ac:dyDescent="0.2">
      <c r="T30" s="253"/>
      <c r="U30" s="253"/>
      <c r="W30" s="9"/>
      <c r="X30" s="9"/>
      <c r="Y30" s="9"/>
      <c r="Z30" s="34"/>
      <c r="AA30" s="9"/>
      <c r="AB30" s="9"/>
      <c r="AC30" s="16"/>
    </row>
    <row r="31" spans="2:31" x14ac:dyDescent="0.2">
      <c r="B31" s="80"/>
      <c r="C31" s="1" t="s">
        <v>199</v>
      </c>
      <c r="U31" s="207"/>
      <c r="W31" s="9"/>
      <c r="X31" s="9"/>
      <c r="Y31" s="9"/>
      <c r="Z31" s="34"/>
      <c r="AA31" s="9"/>
      <c r="AB31" s="9"/>
      <c r="AC31" s="9"/>
    </row>
    <row r="32" spans="2:31" x14ac:dyDescent="0.2">
      <c r="B32" s="156"/>
      <c r="C32" s="1" t="s">
        <v>200</v>
      </c>
      <c r="W32" s="9"/>
      <c r="X32" s="9"/>
      <c r="Y32" s="9"/>
      <c r="Z32" s="34"/>
      <c r="AA32" s="9"/>
      <c r="AB32" s="9"/>
      <c r="AC32" s="9"/>
    </row>
    <row r="33" spans="23:29" x14ac:dyDescent="0.2">
      <c r="W33" s="9"/>
      <c r="X33" s="9"/>
      <c r="Y33" s="9"/>
      <c r="Z33" s="34"/>
      <c r="AA33" s="9"/>
      <c r="AB33" s="9"/>
      <c r="AC33" s="9"/>
    </row>
    <row r="34" spans="23:29" x14ac:dyDescent="0.2">
      <c r="W34" s="9"/>
      <c r="X34" s="9"/>
      <c r="Y34" s="9"/>
      <c r="Z34" s="34"/>
      <c r="AA34" s="9"/>
      <c r="AB34" s="9"/>
      <c r="AC34" s="16"/>
    </row>
    <row r="35" spans="23:29" x14ac:dyDescent="0.2">
      <c r="W35" s="9"/>
      <c r="X35" s="9"/>
      <c r="Y35" s="9"/>
      <c r="Z35" s="9"/>
      <c r="AA35" s="9"/>
      <c r="AB35" s="9"/>
      <c r="AC35" s="16"/>
    </row>
    <row r="36" spans="23:29" x14ac:dyDescent="0.2">
      <c r="W36" s="9"/>
      <c r="X36" s="9"/>
      <c r="Y36" s="9"/>
      <c r="Z36" s="9"/>
      <c r="AA36" s="9"/>
      <c r="AB36" s="9"/>
      <c r="AC36" s="9"/>
    </row>
    <row r="37" spans="23:29" x14ac:dyDescent="0.2">
      <c r="W37" s="9"/>
      <c r="X37" s="9"/>
      <c r="Y37" s="9"/>
      <c r="Z37" s="9"/>
      <c r="AA37" s="9"/>
      <c r="AB37" s="9"/>
      <c r="AC37" s="9"/>
    </row>
  </sheetData>
  <mergeCells count="2">
    <mergeCell ref="T10:U10"/>
    <mergeCell ref="T9:U9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28"/>
  <sheetViews>
    <sheetView zoomScaleNormal="100" workbookViewId="0">
      <selection activeCell="K10" sqref="K10"/>
    </sheetView>
  </sheetViews>
  <sheetFormatPr defaultColWidth="8.85546875" defaultRowHeight="12.75" x14ac:dyDescent="0.2"/>
  <cols>
    <col min="1" max="1" width="3" style="48" customWidth="1"/>
    <col min="2" max="2" width="12.140625" style="48" bestFit="1" customWidth="1"/>
    <col min="3" max="3" width="15" style="48" customWidth="1"/>
    <col min="4" max="4" width="13.85546875" style="48" bestFit="1" customWidth="1"/>
    <col min="5" max="5" width="14.28515625" style="48" customWidth="1"/>
    <col min="6" max="6" width="13.140625" style="48" bestFit="1" customWidth="1"/>
    <col min="7" max="7" width="12.140625" style="48" bestFit="1" customWidth="1"/>
    <col min="8" max="8" width="7.85546875" style="48" bestFit="1" customWidth="1"/>
    <col min="9" max="9" width="9.140625" style="48" bestFit="1" customWidth="1"/>
    <col min="10" max="10" width="9.42578125" style="48" customWidth="1"/>
    <col min="11" max="11" width="8.140625" style="48" customWidth="1"/>
    <col min="12" max="12" width="2.7109375" style="48" customWidth="1"/>
    <col min="13" max="13" width="12.7109375" style="48" bestFit="1" customWidth="1"/>
    <col min="14" max="14" width="7.140625" style="48" customWidth="1"/>
    <col min="15" max="15" width="11.42578125" style="48" bestFit="1" customWidth="1"/>
    <col min="16" max="16" width="41.5703125" style="48" bestFit="1" customWidth="1"/>
    <col min="17" max="17" width="6" style="48" customWidth="1"/>
    <col min="18" max="18" width="11.7109375" style="48" customWidth="1"/>
    <col min="19" max="19" width="14.140625" style="48" customWidth="1"/>
    <col min="20" max="20" width="13.7109375" style="48" bestFit="1" customWidth="1"/>
    <col min="21" max="21" width="8.42578125" style="48" customWidth="1"/>
    <col min="22" max="16384" width="8.85546875" style="48"/>
  </cols>
  <sheetData>
    <row r="1" spans="2:21" ht="15" x14ac:dyDescent="0.25">
      <c r="B1" s="17" t="s">
        <v>94</v>
      </c>
      <c r="C1" s="17" t="s">
        <v>96</v>
      </c>
      <c r="D1" s="17" t="s">
        <v>153</v>
      </c>
      <c r="E1" s="17" t="s">
        <v>98</v>
      </c>
      <c r="F1" s="17" t="s">
        <v>99</v>
      </c>
      <c r="H1" s="17" t="s">
        <v>127</v>
      </c>
    </row>
    <row r="2" spans="2:21" ht="31.5" x14ac:dyDescent="0.25">
      <c r="B2" s="20" t="str">
        <f>EnergyBalance!B8</f>
        <v>TPS</v>
      </c>
      <c r="C2" s="33" t="str">
        <f>EnergyBalance!C8</f>
        <v>Total Primary Supply</v>
      </c>
      <c r="D2" s="33" t="str">
        <f>"Demand Technology"</f>
        <v>Demand Technology</v>
      </c>
      <c r="E2" s="20" t="str">
        <f>EnergyBalance!R2</f>
        <v>PJ</v>
      </c>
      <c r="F2" s="20" t="str">
        <f>EnergyBalance!Q2</f>
        <v>M€2005</v>
      </c>
      <c r="H2" s="20" t="s">
        <v>128</v>
      </c>
      <c r="M2" s="267" t="s">
        <v>14</v>
      </c>
      <c r="N2" s="267"/>
      <c r="O2" s="265"/>
      <c r="P2" s="265"/>
      <c r="Q2" s="265"/>
      <c r="R2" s="265"/>
      <c r="S2" s="265"/>
      <c r="T2" s="265"/>
      <c r="U2" s="265"/>
    </row>
    <row r="3" spans="2:21" x14ac:dyDescent="0.2">
      <c r="M3" s="268" t="s">
        <v>7</v>
      </c>
      <c r="N3" s="269" t="s">
        <v>30</v>
      </c>
      <c r="O3" s="268" t="s">
        <v>0</v>
      </c>
      <c r="P3" s="268" t="s">
        <v>3</v>
      </c>
      <c r="Q3" s="268" t="s">
        <v>4</v>
      </c>
      <c r="R3" s="268" t="s">
        <v>8</v>
      </c>
      <c r="S3" s="268" t="s">
        <v>9</v>
      </c>
      <c r="T3" s="268" t="s">
        <v>10</v>
      </c>
      <c r="U3" s="268" t="s">
        <v>12</v>
      </c>
    </row>
    <row r="4" spans="2:21" s="50" customFormat="1" ht="24" thickBot="1" x14ac:dyDescent="0.3">
      <c r="B4" s="18"/>
      <c r="C4" s="18"/>
      <c r="D4" s="18"/>
      <c r="E4" s="18"/>
      <c r="F4" s="18"/>
      <c r="G4" s="18"/>
      <c r="M4" s="258" t="s">
        <v>40</v>
      </c>
      <c r="N4" s="258" t="s">
        <v>31</v>
      </c>
      <c r="O4" s="258" t="s">
        <v>26</v>
      </c>
      <c r="P4" s="258" t="s">
        <v>27</v>
      </c>
      <c r="Q4" s="258" t="s">
        <v>4</v>
      </c>
      <c r="R4" s="258" t="s">
        <v>43</v>
      </c>
      <c r="S4" s="258" t="s">
        <v>44</v>
      </c>
      <c r="T4" s="258" t="s">
        <v>28</v>
      </c>
      <c r="U4" s="258" t="s">
        <v>29</v>
      </c>
    </row>
    <row r="5" spans="2:21" s="50" customFormat="1" ht="15.75" x14ac:dyDescent="0.25">
      <c r="B5" s="18"/>
      <c r="C5" s="18"/>
      <c r="D5" s="18"/>
      <c r="E5" s="18"/>
      <c r="F5" s="18"/>
      <c r="G5" s="18"/>
      <c r="M5" s="270" t="s">
        <v>106</v>
      </c>
      <c r="N5" s="271"/>
      <c r="O5" s="270" t="str">
        <f>B2&amp;EnergyBalance!D2</f>
        <v>TPSCOA</v>
      </c>
      <c r="P5" s="270" t="str">
        <f>LEFT($D$2,6)&amp;" "&amp;$C$2&amp;" - "&amp;EnergyBalance!D2</f>
        <v>Demand Total Primary Supply - COA</v>
      </c>
      <c r="Q5" s="270" t="str">
        <f>$E$2</f>
        <v>PJ</v>
      </c>
      <c r="R5" s="270"/>
      <c r="S5" s="270"/>
      <c r="T5" s="270"/>
      <c r="U5" s="270"/>
    </row>
    <row r="8" spans="2:21" x14ac:dyDescent="0.2">
      <c r="D8" s="7" t="s">
        <v>13</v>
      </c>
      <c r="E8" s="7"/>
      <c r="F8" s="7"/>
      <c r="G8" s="7"/>
      <c r="I8" s="7"/>
      <c r="J8" s="8"/>
      <c r="K8" s="6"/>
      <c r="M8" s="267" t="s">
        <v>15</v>
      </c>
      <c r="N8" s="267"/>
      <c r="O8" s="266"/>
      <c r="P8" s="266"/>
      <c r="Q8" s="266"/>
      <c r="R8" s="266"/>
      <c r="S8" s="266"/>
      <c r="T8" s="266"/>
      <c r="U8" s="266"/>
    </row>
    <row r="9" spans="2:21" ht="25.5" x14ac:dyDescent="0.2">
      <c r="B9" s="29" t="s">
        <v>1</v>
      </c>
      <c r="C9" s="29" t="s">
        <v>5</v>
      </c>
      <c r="D9" s="29" t="s">
        <v>6</v>
      </c>
      <c r="E9" s="193" t="s">
        <v>208</v>
      </c>
      <c r="F9" s="193" t="s">
        <v>209</v>
      </c>
      <c r="G9" s="194" t="s">
        <v>109</v>
      </c>
      <c r="H9" s="194" t="s">
        <v>125</v>
      </c>
      <c r="I9" s="194" t="s">
        <v>107</v>
      </c>
      <c r="J9" s="194" t="s">
        <v>108</v>
      </c>
      <c r="K9" s="193" t="s">
        <v>102</v>
      </c>
      <c r="M9" s="268" t="s">
        <v>11</v>
      </c>
      <c r="N9" s="269" t="s">
        <v>30</v>
      </c>
      <c r="O9" s="268" t="s">
        <v>1</v>
      </c>
      <c r="P9" s="268" t="s">
        <v>2</v>
      </c>
      <c r="Q9" s="268" t="s">
        <v>16</v>
      </c>
      <c r="R9" s="268" t="s">
        <v>17</v>
      </c>
      <c r="S9" s="268" t="s">
        <v>18</v>
      </c>
      <c r="T9" s="268" t="s">
        <v>19</v>
      </c>
      <c r="U9" s="268" t="s">
        <v>20</v>
      </c>
    </row>
    <row r="10" spans="2:21" ht="23.25" thickBot="1" x14ac:dyDescent="0.25">
      <c r="B10" s="27" t="s">
        <v>42</v>
      </c>
      <c r="C10" s="27" t="s">
        <v>32</v>
      </c>
      <c r="D10" s="27" t="s">
        <v>33</v>
      </c>
      <c r="E10" s="27" t="s">
        <v>34</v>
      </c>
      <c r="F10" s="27" t="s">
        <v>34</v>
      </c>
      <c r="G10" s="27" t="s">
        <v>114</v>
      </c>
      <c r="H10" s="185" t="s">
        <v>126</v>
      </c>
      <c r="I10" s="27" t="s">
        <v>123</v>
      </c>
      <c r="J10" s="27" t="s">
        <v>122</v>
      </c>
      <c r="K10" s="244" t="s">
        <v>216</v>
      </c>
      <c r="M10" s="258" t="s">
        <v>41</v>
      </c>
      <c r="N10" s="258" t="s">
        <v>31</v>
      </c>
      <c r="O10" s="258" t="s">
        <v>21</v>
      </c>
      <c r="P10" s="258" t="s">
        <v>22</v>
      </c>
      <c r="Q10" s="258" t="s">
        <v>23</v>
      </c>
      <c r="R10" s="258" t="s">
        <v>24</v>
      </c>
      <c r="S10" s="258" t="s">
        <v>46</v>
      </c>
      <c r="T10" s="258" t="s">
        <v>45</v>
      </c>
      <c r="U10" s="258" t="s">
        <v>25</v>
      </c>
    </row>
    <row r="11" spans="2:21" ht="13.5" thickBot="1" x14ac:dyDescent="0.25">
      <c r="B11" s="26" t="s">
        <v>115</v>
      </c>
      <c r="C11" s="26"/>
      <c r="D11" s="26"/>
      <c r="E11" s="24" t="str">
        <f>$E$2&amp;"a"</f>
        <v>PJa</v>
      </c>
      <c r="F11" s="24" t="str">
        <f>$E$2&amp;"a"</f>
        <v>PJa</v>
      </c>
      <c r="G11" s="24"/>
      <c r="H11" s="196"/>
      <c r="I11" s="24" t="str">
        <f>$F$2&amp;"/"&amp;$E$2</f>
        <v>M€2005/PJ</v>
      </c>
      <c r="J11" s="24" t="str">
        <f>$F$2&amp;"/"&amp;$E$2&amp;"a"</f>
        <v>M€2005/PJa</v>
      </c>
      <c r="K11" s="24" t="s">
        <v>116</v>
      </c>
      <c r="M11" s="258" t="s">
        <v>104</v>
      </c>
      <c r="N11" s="258"/>
      <c r="O11" s="258"/>
      <c r="P11" s="258"/>
      <c r="Q11" s="258"/>
      <c r="R11" s="258"/>
      <c r="S11" s="258"/>
      <c r="T11" s="258"/>
      <c r="U11" s="258"/>
    </row>
    <row r="12" spans="2:21" x14ac:dyDescent="0.2">
      <c r="B12" s="48" t="str">
        <f>O12</f>
        <v>DTPSCOA</v>
      </c>
      <c r="C12" s="48" t="str">
        <f>RIGHT(B12,3)</f>
        <v>COA</v>
      </c>
      <c r="D12" s="48" t="str">
        <f>$O$5</f>
        <v>TPSCOA</v>
      </c>
      <c r="E12" s="50"/>
      <c r="F12" s="50"/>
      <c r="G12" s="166">
        <v>1</v>
      </c>
      <c r="H12" s="166">
        <v>0.95</v>
      </c>
      <c r="I12" s="165">
        <v>10</v>
      </c>
      <c r="J12" s="166">
        <f>I12*0.02</f>
        <v>0.2</v>
      </c>
      <c r="K12" s="165">
        <v>20</v>
      </c>
      <c r="M12" s="270" t="s">
        <v>124</v>
      </c>
      <c r="N12" s="271"/>
      <c r="O12" s="271" t="str">
        <f>LEFT(M12,1)&amp;B2&amp;RIGHT(P12,3)</f>
        <v>DTPSCOA</v>
      </c>
      <c r="P12" s="272" t="str">
        <f>$D$2&amp;" "&amp;$C$2&amp;" - "&amp;EnergyBalance!D2</f>
        <v>Demand Technology Total Primary Supply - COA</v>
      </c>
      <c r="Q12" s="271" t="str">
        <f>$E$2</f>
        <v>PJ</v>
      </c>
      <c r="R12" s="271" t="str">
        <f>$E$2&amp;"a"</f>
        <v>PJa</v>
      </c>
      <c r="S12" s="271"/>
      <c r="T12" s="271"/>
      <c r="U12" s="271"/>
    </row>
    <row r="13" spans="2:21" x14ac:dyDescent="0.2">
      <c r="D13" s="50"/>
      <c r="E13" s="183"/>
      <c r="F13" s="183"/>
      <c r="G13" s="206"/>
      <c r="H13" s="206"/>
      <c r="I13" s="50"/>
      <c r="J13" s="206"/>
      <c r="K13" s="50"/>
      <c r="M13" s="60"/>
      <c r="N13" s="50"/>
      <c r="O13" s="50"/>
      <c r="P13" s="205"/>
      <c r="Q13" s="50"/>
      <c r="R13" s="50"/>
      <c r="S13" s="50"/>
      <c r="T13" s="50"/>
      <c r="U13" s="50"/>
    </row>
    <row r="14" spans="2:21" x14ac:dyDescent="0.2">
      <c r="B14" s="52"/>
      <c r="D14" s="52"/>
      <c r="E14" s="180"/>
      <c r="F14" s="180"/>
      <c r="G14" s="207"/>
      <c r="H14" s="207"/>
      <c r="I14" s="51"/>
      <c r="J14" s="207"/>
      <c r="K14" s="51"/>
      <c r="M14" s="50"/>
      <c r="N14" s="50"/>
      <c r="O14" s="50"/>
      <c r="P14" s="208"/>
      <c r="Q14" s="50"/>
      <c r="R14" s="50"/>
      <c r="S14" s="50"/>
      <c r="T14" s="50"/>
      <c r="U14" s="50"/>
    </row>
    <row r="15" spans="2:21" x14ac:dyDescent="0.2">
      <c r="B15" s="52"/>
      <c r="E15" s="180"/>
      <c r="F15" s="180"/>
      <c r="G15" s="207"/>
      <c r="H15" s="207"/>
      <c r="I15" s="51"/>
      <c r="J15" s="207"/>
      <c r="K15" s="51"/>
      <c r="M15" s="50"/>
      <c r="N15" s="50"/>
      <c r="O15" s="50"/>
      <c r="P15" s="208"/>
      <c r="Q15" s="50"/>
      <c r="R15" s="50"/>
      <c r="S15" s="50"/>
      <c r="T15" s="50"/>
      <c r="U15" s="50"/>
    </row>
    <row r="16" spans="2:21" x14ac:dyDescent="0.2">
      <c r="G16" s="50"/>
      <c r="H16" s="50"/>
      <c r="I16" s="50"/>
      <c r="J16" s="50"/>
      <c r="K16" s="50"/>
      <c r="M16" s="50"/>
      <c r="N16" s="50"/>
      <c r="O16" s="50"/>
      <c r="P16" s="50"/>
      <c r="Q16" s="50"/>
      <c r="R16" s="50"/>
      <c r="S16" s="50"/>
      <c r="T16" s="50"/>
      <c r="U16" s="50"/>
    </row>
    <row r="17" spans="2:21" x14ac:dyDescent="0.2">
      <c r="G17" s="50"/>
      <c r="H17" s="50"/>
      <c r="I17" s="50"/>
      <c r="J17" s="50"/>
      <c r="K17" s="50"/>
      <c r="M17" s="50"/>
      <c r="N17" s="50"/>
      <c r="O17" s="50"/>
      <c r="P17" s="50"/>
      <c r="Q17" s="50"/>
      <c r="R17" s="50"/>
      <c r="S17" s="50"/>
      <c r="T17" s="50"/>
      <c r="U17" s="50"/>
    </row>
    <row r="18" spans="2:21" x14ac:dyDescent="0.2">
      <c r="J18" s="178"/>
      <c r="M18" s="50"/>
      <c r="N18" s="50"/>
      <c r="O18" s="50"/>
      <c r="P18" s="50"/>
      <c r="Q18" s="50"/>
      <c r="R18" s="50"/>
      <c r="S18" s="50"/>
      <c r="T18" s="50"/>
      <c r="U18" s="50"/>
    </row>
    <row r="19" spans="2:21" x14ac:dyDescent="0.2">
      <c r="J19" s="178"/>
      <c r="M19" s="50"/>
      <c r="N19" s="50"/>
      <c r="O19" s="50"/>
      <c r="P19" s="50"/>
      <c r="Q19" s="50"/>
      <c r="R19" s="50"/>
      <c r="S19" s="50"/>
      <c r="T19" s="50"/>
      <c r="U19" s="50"/>
    </row>
    <row r="20" spans="2:21" x14ac:dyDescent="0.2">
      <c r="M20" s="50"/>
      <c r="N20" s="50"/>
      <c r="O20" s="50"/>
      <c r="P20" s="50"/>
      <c r="Q20" s="50"/>
      <c r="R20" s="50"/>
      <c r="S20" s="50"/>
      <c r="T20" s="50"/>
      <c r="U20" s="50"/>
    </row>
    <row r="21" spans="2:21" x14ac:dyDescent="0.2">
      <c r="M21" s="50"/>
      <c r="N21" s="50"/>
      <c r="O21" s="50"/>
      <c r="P21" s="50"/>
      <c r="Q21" s="50"/>
      <c r="R21" s="50"/>
      <c r="S21" s="50"/>
      <c r="T21" s="50"/>
      <c r="U21" s="50"/>
    </row>
    <row r="22" spans="2:21" x14ac:dyDescent="0.2">
      <c r="M22" s="50"/>
      <c r="N22" s="50"/>
      <c r="O22" s="50"/>
      <c r="P22" s="50"/>
      <c r="Q22" s="50"/>
      <c r="R22" s="50"/>
      <c r="S22" s="50"/>
      <c r="T22" s="50"/>
      <c r="U22" s="50"/>
    </row>
    <row r="23" spans="2:21" x14ac:dyDescent="0.2">
      <c r="B23" s="165"/>
      <c r="C23" s="49" t="s">
        <v>199</v>
      </c>
    </row>
    <row r="24" spans="2:21" x14ac:dyDescent="0.2">
      <c r="B24" s="209"/>
      <c r="C24" s="49" t="s">
        <v>200</v>
      </c>
    </row>
    <row r="25" spans="2:21" x14ac:dyDescent="0.2">
      <c r="L25" s="49"/>
    </row>
    <row r="26" spans="2:21" x14ac:dyDescent="0.2">
      <c r="L26" s="49"/>
    </row>
    <row r="27" spans="2:21" x14ac:dyDescent="0.2">
      <c r="L27" s="49"/>
    </row>
    <row r="28" spans="2:21" x14ac:dyDescent="0.2">
      <c r="L28" s="49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U28"/>
  <sheetViews>
    <sheetView zoomScaleNormal="100" workbookViewId="0">
      <selection activeCell="K10" sqref="K10"/>
    </sheetView>
  </sheetViews>
  <sheetFormatPr defaultColWidth="8.85546875" defaultRowHeight="12.75" x14ac:dyDescent="0.2"/>
  <cols>
    <col min="1" max="1" width="3" style="48" customWidth="1"/>
    <col min="2" max="2" width="12.140625" style="48" bestFit="1" customWidth="1"/>
    <col min="3" max="3" width="15" style="48" customWidth="1"/>
    <col min="4" max="4" width="13.85546875" style="48" bestFit="1" customWidth="1"/>
    <col min="5" max="5" width="13.7109375" style="48" customWidth="1"/>
    <col min="6" max="6" width="13.140625" style="48" bestFit="1" customWidth="1"/>
    <col min="7" max="7" width="12.140625" style="48" bestFit="1" customWidth="1"/>
    <col min="8" max="8" width="7.85546875" style="48" bestFit="1" customWidth="1"/>
    <col min="9" max="9" width="9.140625" style="48" bestFit="1" customWidth="1"/>
    <col min="10" max="10" width="9.42578125" style="48" customWidth="1"/>
    <col min="11" max="11" width="8.140625" style="48" customWidth="1"/>
    <col min="12" max="12" width="2.7109375" style="48" customWidth="1"/>
    <col min="13" max="13" width="12.7109375" style="48" bestFit="1" customWidth="1"/>
    <col min="14" max="14" width="7.140625" style="48" customWidth="1"/>
    <col min="15" max="15" width="11.42578125" style="48" bestFit="1" customWidth="1"/>
    <col min="16" max="16" width="41.5703125" style="48" bestFit="1" customWidth="1"/>
    <col min="17" max="17" width="8.5703125" style="48" customWidth="1"/>
    <col min="18" max="18" width="11.7109375" style="48" customWidth="1"/>
    <col min="19" max="19" width="14.42578125" style="48" customWidth="1"/>
    <col min="20" max="20" width="13.7109375" style="48" bestFit="1" customWidth="1"/>
    <col min="21" max="21" width="8.42578125" style="48" customWidth="1"/>
    <col min="22" max="16384" width="8.85546875" style="48"/>
  </cols>
  <sheetData>
    <row r="1" spans="2:21" ht="15" x14ac:dyDescent="0.25">
      <c r="B1" s="17" t="s">
        <v>94</v>
      </c>
      <c r="C1" s="17" t="s">
        <v>96</v>
      </c>
      <c r="D1" s="17" t="s">
        <v>153</v>
      </c>
      <c r="E1" s="17" t="s">
        <v>98</v>
      </c>
      <c r="F1" s="17" t="s">
        <v>99</v>
      </c>
      <c r="H1" s="17" t="s">
        <v>127</v>
      </c>
    </row>
    <row r="2" spans="2:21" ht="31.5" x14ac:dyDescent="0.25">
      <c r="B2" s="20" t="str">
        <f>EnergyBalance!B8</f>
        <v>TPS</v>
      </c>
      <c r="C2" s="33" t="str">
        <f>EnergyBalance!C8</f>
        <v>Total Primary Supply</v>
      </c>
      <c r="D2" s="33" t="str">
        <f>"Demand Technology"</f>
        <v>Demand Technology</v>
      </c>
      <c r="E2" s="20" t="str">
        <f>EnergyBalance!R2</f>
        <v>PJ</v>
      </c>
      <c r="F2" s="20" t="str">
        <f>EnergyBalance!Q2</f>
        <v>M€2005</v>
      </c>
      <c r="H2" s="20" t="s">
        <v>128</v>
      </c>
      <c r="M2" s="267" t="s">
        <v>14</v>
      </c>
      <c r="N2" s="267"/>
      <c r="O2" s="265"/>
      <c r="P2" s="265"/>
      <c r="Q2" s="265"/>
      <c r="R2" s="265"/>
      <c r="S2" s="265"/>
      <c r="T2" s="265"/>
      <c r="U2" s="265"/>
    </row>
    <row r="3" spans="2:21" x14ac:dyDescent="0.2">
      <c r="M3" s="268" t="s">
        <v>7</v>
      </c>
      <c r="N3" s="269" t="s">
        <v>30</v>
      </c>
      <c r="O3" s="268" t="s">
        <v>0</v>
      </c>
      <c r="P3" s="268" t="s">
        <v>3</v>
      </c>
      <c r="Q3" s="268" t="s">
        <v>4</v>
      </c>
      <c r="R3" s="268" t="s">
        <v>8</v>
      </c>
      <c r="S3" s="268" t="s">
        <v>9</v>
      </c>
      <c r="T3" s="268" t="s">
        <v>10</v>
      </c>
      <c r="U3" s="268" t="s">
        <v>12</v>
      </c>
    </row>
    <row r="4" spans="2:21" s="50" customFormat="1" ht="24" thickBot="1" x14ac:dyDescent="0.3">
      <c r="B4" s="18"/>
      <c r="C4" s="18"/>
      <c r="D4" s="18"/>
      <c r="E4" s="18"/>
      <c r="F4" s="18"/>
      <c r="G4" s="18"/>
      <c r="M4" s="258" t="s">
        <v>40</v>
      </c>
      <c r="N4" s="258" t="s">
        <v>31</v>
      </c>
      <c r="O4" s="258" t="s">
        <v>26</v>
      </c>
      <c r="P4" s="258" t="s">
        <v>27</v>
      </c>
      <c r="Q4" s="258" t="s">
        <v>4</v>
      </c>
      <c r="R4" s="258" t="s">
        <v>43</v>
      </c>
      <c r="S4" s="258" t="s">
        <v>44</v>
      </c>
      <c r="T4" s="258" t="s">
        <v>28</v>
      </c>
      <c r="U4" s="258" t="s">
        <v>29</v>
      </c>
    </row>
    <row r="5" spans="2:21" s="50" customFormat="1" ht="15.75" x14ac:dyDescent="0.25">
      <c r="B5" s="18"/>
      <c r="C5" s="18"/>
      <c r="D5" s="18"/>
      <c r="E5" s="18"/>
      <c r="F5" s="18"/>
      <c r="G5" s="18"/>
      <c r="M5" s="270" t="s">
        <v>106</v>
      </c>
      <c r="N5" s="271"/>
      <c r="O5" s="270" t="str">
        <f>B2&amp;EnergyBalance!K2</f>
        <v>TPSELC</v>
      </c>
      <c r="P5" s="270" t="str">
        <f>LEFT($D$2,6)&amp;" "&amp;$C$2&amp;" - "&amp;EnergyBalance!K2</f>
        <v>Demand Total Primary Supply - ELC</v>
      </c>
      <c r="Q5" s="270" t="str">
        <f>$E$2</f>
        <v>PJ</v>
      </c>
      <c r="R5" s="270"/>
      <c r="S5" s="270"/>
      <c r="T5" s="270"/>
      <c r="U5" s="270"/>
    </row>
    <row r="8" spans="2:21" x14ac:dyDescent="0.2">
      <c r="D8" s="7" t="s">
        <v>13</v>
      </c>
      <c r="E8" s="7"/>
      <c r="F8" s="7"/>
      <c r="G8" s="7"/>
      <c r="I8" s="7"/>
      <c r="J8" s="8"/>
      <c r="K8" s="6"/>
      <c r="M8" s="267" t="s">
        <v>15</v>
      </c>
      <c r="N8" s="267"/>
      <c r="O8" s="266"/>
      <c r="P8" s="266"/>
      <c r="Q8" s="266"/>
      <c r="R8" s="266"/>
      <c r="S8" s="266"/>
      <c r="T8" s="266"/>
      <c r="U8" s="266"/>
    </row>
    <row r="9" spans="2:21" ht="25.5" x14ac:dyDescent="0.2">
      <c r="B9" s="29" t="s">
        <v>1</v>
      </c>
      <c r="C9" s="29" t="s">
        <v>5</v>
      </c>
      <c r="D9" s="29" t="s">
        <v>6</v>
      </c>
      <c r="E9" s="193" t="s">
        <v>208</v>
      </c>
      <c r="F9" s="193" t="s">
        <v>209</v>
      </c>
      <c r="G9" s="194" t="s">
        <v>109</v>
      </c>
      <c r="H9" s="194" t="s">
        <v>125</v>
      </c>
      <c r="I9" s="194" t="s">
        <v>107</v>
      </c>
      <c r="J9" s="194" t="s">
        <v>108</v>
      </c>
      <c r="K9" s="193" t="s">
        <v>102</v>
      </c>
      <c r="M9" s="268" t="s">
        <v>11</v>
      </c>
      <c r="N9" s="269" t="s">
        <v>30</v>
      </c>
      <c r="O9" s="268" t="s">
        <v>1</v>
      </c>
      <c r="P9" s="268" t="s">
        <v>2</v>
      </c>
      <c r="Q9" s="268" t="s">
        <v>16</v>
      </c>
      <c r="R9" s="268" t="s">
        <v>17</v>
      </c>
      <c r="S9" s="268" t="s">
        <v>18</v>
      </c>
      <c r="T9" s="268" t="s">
        <v>19</v>
      </c>
      <c r="U9" s="268" t="s">
        <v>20</v>
      </c>
    </row>
    <row r="10" spans="2:21" ht="23.25" thickBot="1" x14ac:dyDescent="0.25">
      <c r="B10" s="27" t="s">
        <v>42</v>
      </c>
      <c r="C10" s="27" t="s">
        <v>32</v>
      </c>
      <c r="D10" s="27" t="s">
        <v>33</v>
      </c>
      <c r="E10" s="27" t="s">
        <v>34</v>
      </c>
      <c r="F10" s="27" t="s">
        <v>34</v>
      </c>
      <c r="G10" s="27" t="s">
        <v>114</v>
      </c>
      <c r="H10" s="185" t="s">
        <v>126</v>
      </c>
      <c r="I10" s="27" t="s">
        <v>123</v>
      </c>
      <c r="J10" s="27" t="s">
        <v>122</v>
      </c>
      <c r="K10" s="245" t="s">
        <v>216</v>
      </c>
      <c r="M10" s="258" t="s">
        <v>41</v>
      </c>
      <c r="N10" s="258" t="s">
        <v>31</v>
      </c>
      <c r="O10" s="258" t="s">
        <v>21</v>
      </c>
      <c r="P10" s="258" t="s">
        <v>22</v>
      </c>
      <c r="Q10" s="258" t="s">
        <v>23</v>
      </c>
      <c r="R10" s="258" t="s">
        <v>24</v>
      </c>
      <c r="S10" s="258" t="s">
        <v>46</v>
      </c>
      <c r="T10" s="258" t="s">
        <v>45</v>
      </c>
      <c r="U10" s="258" t="s">
        <v>25</v>
      </c>
    </row>
    <row r="11" spans="2:21" ht="13.5" thickBot="1" x14ac:dyDescent="0.25">
      <c r="B11" s="26" t="s">
        <v>115</v>
      </c>
      <c r="C11" s="26"/>
      <c r="D11" s="26"/>
      <c r="E11" s="24" t="str">
        <f>$E$2&amp;"a"</f>
        <v>PJa</v>
      </c>
      <c r="F11" s="24" t="str">
        <f>$E$2&amp;"a"</f>
        <v>PJa</v>
      </c>
      <c r="G11" s="24"/>
      <c r="H11" s="196"/>
      <c r="I11" s="24" t="str">
        <f>$F$2&amp;"/"&amp;$E$2</f>
        <v>M€2005/PJ</v>
      </c>
      <c r="J11" s="24" t="str">
        <f>$F$2&amp;"/"&amp;$E$2&amp;"a"</f>
        <v>M€2005/PJa</v>
      </c>
      <c r="K11" s="24" t="s">
        <v>116</v>
      </c>
      <c r="M11" s="258" t="s">
        <v>104</v>
      </c>
      <c r="N11" s="258"/>
      <c r="O11" s="258"/>
      <c r="P11" s="258"/>
      <c r="Q11" s="258"/>
      <c r="R11" s="258"/>
      <c r="S11" s="258"/>
      <c r="T11" s="258"/>
      <c r="U11" s="258"/>
    </row>
    <row r="12" spans="2:21" x14ac:dyDescent="0.2">
      <c r="B12" s="48" t="str">
        <f>O12</f>
        <v>DTPSELC</v>
      </c>
      <c r="C12" s="48" t="str">
        <f>RIGHT(B12,3)</f>
        <v>ELC</v>
      </c>
      <c r="D12" s="48" t="str">
        <f>$O$5</f>
        <v>TPSELC</v>
      </c>
      <c r="E12" s="50"/>
      <c r="F12" s="50"/>
      <c r="G12" s="166">
        <v>1</v>
      </c>
      <c r="H12" s="166">
        <v>0.95</v>
      </c>
      <c r="I12" s="165">
        <v>10</v>
      </c>
      <c r="J12" s="166">
        <f>I12*0.02</f>
        <v>0.2</v>
      </c>
      <c r="K12" s="165">
        <v>20</v>
      </c>
      <c r="M12" s="270" t="s">
        <v>124</v>
      </c>
      <c r="N12" s="271"/>
      <c r="O12" s="271" t="str">
        <f>LEFT(M12,1)&amp;B2&amp;RIGHT(P12,3)</f>
        <v>DTPSELC</v>
      </c>
      <c r="P12" s="272" t="str">
        <f>$D$2&amp;" "&amp;$C$2&amp;" - "&amp;EnergyBalance!K2</f>
        <v>Demand Technology Total Primary Supply - ELC</v>
      </c>
      <c r="Q12" s="271" t="str">
        <f>$E$2</f>
        <v>PJ</v>
      </c>
      <c r="R12" s="271" t="str">
        <f>$E$2&amp;"a"</f>
        <v>PJa</v>
      </c>
      <c r="S12" s="271"/>
      <c r="T12" s="271"/>
      <c r="U12" s="271"/>
    </row>
    <row r="13" spans="2:21" x14ac:dyDescent="0.2">
      <c r="D13" s="50"/>
      <c r="E13" s="183"/>
      <c r="F13" s="183"/>
      <c r="G13" s="206"/>
      <c r="H13" s="206"/>
      <c r="I13" s="50"/>
      <c r="J13" s="206"/>
      <c r="K13" s="50"/>
      <c r="M13" s="60"/>
      <c r="N13" s="50"/>
      <c r="O13" s="50"/>
      <c r="P13" s="205"/>
      <c r="Q13" s="50"/>
      <c r="R13" s="50"/>
      <c r="S13" s="50"/>
      <c r="T13" s="50"/>
      <c r="U13" s="50"/>
    </row>
    <row r="14" spans="2:21" x14ac:dyDescent="0.2">
      <c r="B14" s="52"/>
      <c r="D14" s="52"/>
      <c r="E14" s="180"/>
      <c r="F14" s="180"/>
      <c r="G14" s="207"/>
      <c r="H14" s="207"/>
      <c r="I14" s="51"/>
      <c r="J14" s="207"/>
      <c r="K14" s="51"/>
      <c r="M14" s="50"/>
      <c r="N14" s="50"/>
      <c r="O14" s="50"/>
      <c r="P14" s="208"/>
      <c r="Q14" s="50"/>
      <c r="R14" s="50"/>
      <c r="S14" s="50"/>
      <c r="T14" s="50"/>
      <c r="U14" s="50"/>
    </row>
    <row r="15" spans="2:21" x14ac:dyDescent="0.2">
      <c r="B15" s="52"/>
      <c r="E15" s="180"/>
      <c r="F15" s="180"/>
      <c r="G15" s="207"/>
      <c r="H15" s="207"/>
      <c r="I15" s="51"/>
      <c r="J15" s="207"/>
      <c r="K15" s="51"/>
      <c r="M15" s="50"/>
      <c r="N15" s="50"/>
      <c r="O15" s="50"/>
      <c r="P15" s="208"/>
      <c r="Q15" s="50"/>
      <c r="R15" s="50"/>
      <c r="S15" s="50"/>
      <c r="T15" s="50"/>
      <c r="U15" s="50"/>
    </row>
    <row r="16" spans="2:21" x14ac:dyDescent="0.2">
      <c r="G16" s="50"/>
      <c r="H16" s="50"/>
      <c r="I16" s="50"/>
      <c r="J16" s="50"/>
      <c r="K16" s="50"/>
      <c r="M16" s="50"/>
      <c r="N16" s="50"/>
      <c r="O16" s="50"/>
      <c r="P16" s="50"/>
      <c r="Q16" s="50"/>
      <c r="R16" s="50"/>
      <c r="S16" s="50"/>
      <c r="T16" s="50"/>
      <c r="U16" s="50"/>
    </row>
    <row r="17" spans="2:21" x14ac:dyDescent="0.2">
      <c r="G17" s="50"/>
      <c r="H17" s="50"/>
      <c r="I17" s="50"/>
      <c r="J17" s="50"/>
      <c r="K17" s="50"/>
      <c r="M17" s="50"/>
      <c r="N17" s="50"/>
      <c r="O17" s="50"/>
      <c r="P17" s="50"/>
      <c r="Q17" s="50"/>
      <c r="R17" s="50"/>
      <c r="S17" s="50"/>
      <c r="T17" s="50"/>
      <c r="U17" s="50"/>
    </row>
    <row r="18" spans="2:21" x14ac:dyDescent="0.2">
      <c r="J18" s="178"/>
      <c r="M18" s="50"/>
      <c r="N18" s="50"/>
      <c r="O18" s="50"/>
      <c r="P18" s="50"/>
      <c r="Q18" s="50"/>
      <c r="R18" s="50"/>
      <c r="S18" s="50"/>
      <c r="T18" s="50"/>
      <c r="U18" s="50"/>
    </row>
    <row r="19" spans="2:21" x14ac:dyDescent="0.2">
      <c r="J19" s="178"/>
      <c r="M19" s="50"/>
      <c r="N19" s="50"/>
      <c r="O19" s="50"/>
      <c r="P19" s="50"/>
      <c r="Q19" s="50"/>
      <c r="R19" s="50"/>
      <c r="S19" s="50"/>
      <c r="T19" s="50"/>
      <c r="U19" s="50"/>
    </row>
    <row r="20" spans="2:21" x14ac:dyDescent="0.2">
      <c r="M20" s="50"/>
      <c r="N20" s="50"/>
      <c r="O20" s="50"/>
      <c r="P20" s="50"/>
      <c r="Q20" s="50"/>
      <c r="R20" s="50"/>
      <c r="S20" s="50"/>
      <c r="T20" s="50"/>
      <c r="U20" s="50"/>
    </row>
    <row r="21" spans="2:21" x14ac:dyDescent="0.2">
      <c r="M21" s="50"/>
      <c r="N21" s="50"/>
      <c r="O21" s="50"/>
      <c r="P21" s="50"/>
      <c r="Q21" s="50"/>
      <c r="R21" s="50"/>
      <c r="S21" s="50"/>
      <c r="T21" s="50"/>
      <c r="U21" s="50"/>
    </row>
    <row r="22" spans="2:21" x14ac:dyDescent="0.2">
      <c r="M22" s="50"/>
      <c r="N22" s="50"/>
      <c r="O22" s="50"/>
      <c r="P22" s="50"/>
      <c r="Q22" s="50"/>
      <c r="R22" s="50"/>
      <c r="S22" s="50"/>
      <c r="T22" s="50"/>
      <c r="U22" s="50"/>
    </row>
    <row r="23" spans="2:21" x14ac:dyDescent="0.2">
      <c r="B23" s="165"/>
      <c r="C23" s="49" t="s">
        <v>199</v>
      </c>
    </row>
    <row r="24" spans="2:21" x14ac:dyDescent="0.2">
      <c r="B24" s="209"/>
      <c r="C24" s="49" t="s">
        <v>200</v>
      </c>
    </row>
    <row r="25" spans="2:21" x14ac:dyDescent="0.2">
      <c r="L25" s="49"/>
    </row>
    <row r="26" spans="2:21" x14ac:dyDescent="0.2">
      <c r="L26" s="49"/>
    </row>
    <row r="27" spans="2:21" x14ac:dyDescent="0.2">
      <c r="L27" s="49"/>
    </row>
    <row r="28" spans="2:21" x14ac:dyDescent="0.2">
      <c r="L28" s="49"/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28"/>
  <sheetViews>
    <sheetView zoomScaleNormal="100" workbookViewId="0">
      <selection activeCell="M15" sqref="M15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6" width="13.7109375" customWidth="1"/>
    <col min="7" max="7" width="9.140625" customWidth="1"/>
    <col min="8" max="8" width="7.140625" bestFit="1" customWidth="1"/>
    <col min="9" max="9" width="9" customWidth="1"/>
    <col min="10" max="10" width="9.28515625" bestFit="1" customWidth="1"/>
    <col min="11" max="11" width="8.5703125" customWidth="1"/>
    <col min="12" max="12" width="7" bestFit="1" customWidth="1"/>
    <col min="13" max="13" width="12.85546875" customWidth="1"/>
    <col min="14" max="14" width="2.7109375" customWidth="1"/>
    <col min="15" max="15" width="12.7109375" bestFit="1" customWidth="1"/>
    <col min="16" max="16" width="7.140625" customWidth="1"/>
    <col min="17" max="17" width="11.42578125" bestFit="1" customWidth="1"/>
    <col min="18" max="18" width="57.42578125" bestFit="1" customWidth="1"/>
    <col min="19" max="19" width="6.5703125" customWidth="1"/>
    <col min="20" max="20" width="11.7109375" customWidth="1"/>
    <col min="21" max="21" width="13.42578125" customWidth="1"/>
    <col min="22" max="22" width="13.85546875" customWidth="1"/>
    <col min="23" max="23" width="8.42578125" customWidth="1"/>
  </cols>
  <sheetData>
    <row r="1" spans="2:23" ht="15" x14ac:dyDescent="0.25">
      <c r="B1" s="17" t="s">
        <v>94</v>
      </c>
      <c r="C1" s="17" t="s">
        <v>96</v>
      </c>
      <c r="D1" s="17" t="s">
        <v>153</v>
      </c>
      <c r="E1" s="17" t="s">
        <v>98</v>
      </c>
      <c r="F1" s="17" t="s">
        <v>99</v>
      </c>
      <c r="H1" s="17" t="s">
        <v>127</v>
      </c>
      <c r="I1" s="17" t="s">
        <v>206</v>
      </c>
    </row>
    <row r="2" spans="2:23" ht="31.5" x14ac:dyDescent="0.25">
      <c r="B2" s="20" t="str">
        <f>EnergyBalance!B16</f>
        <v>RSD</v>
      </c>
      <c r="C2" s="20" t="str">
        <f>EnergyBalance!C16</f>
        <v>Residential</v>
      </c>
      <c r="D2" s="33" t="str">
        <f>"Demand Technologies"</f>
        <v>Demand Technologies</v>
      </c>
      <c r="E2" s="20" t="str">
        <f>EnergyBalance!R2</f>
        <v>PJ</v>
      </c>
      <c r="F2" s="20" t="str">
        <f>EnergyBalance!Q2</f>
        <v>M€2005</v>
      </c>
      <c r="H2" s="20" t="s">
        <v>128</v>
      </c>
      <c r="I2" s="20" t="s">
        <v>129</v>
      </c>
      <c r="O2" s="254" t="s">
        <v>14</v>
      </c>
      <c r="P2" s="254"/>
      <c r="Q2" s="255"/>
      <c r="R2" s="255"/>
      <c r="S2" s="255"/>
      <c r="T2" s="255"/>
      <c r="U2" s="255"/>
      <c r="V2" s="255"/>
      <c r="W2" s="255"/>
    </row>
    <row r="3" spans="2:23" x14ac:dyDescent="0.2">
      <c r="O3" s="256" t="s">
        <v>7</v>
      </c>
      <c r="P3" s="257" t="s">
        <v>30</v>
      </c>
      <c r="Q3" s="256" t="s">
        <v>0</v>
      </c>
      <c r="R3" s="256" t="s">
        <v>3</v>
      </c>
      <c r="S3" s="256" t="s">
        <v>4</v>
      </c>
      <c r="T3" s="256" t="s">
        <v>8</v>
      </c>
      <c r="U3" s="256" t="s">
        <v>9</v>
      </c>
      <c r="V3" s="256" t="s">
        <v>10</v>
      </c>
      <c r="W3" s="256" t="s">
        <v>12</v>
      </c>
    </row>
    <row r="4" spans="2:23" s="9" customFormat="1" ht="24" thickBot="1" x14ac:dyDescent="0.3">
      <c r="B4" s="18"/>
      <c r="C4" s="18"/>
      <c r="D4" s="18"/>
      <c r="E4" s="18"/>
      <c r="F4" s="18"/>
      <c r="O4" s="258" t="s">
        <v>40</v>
      </c>
      <c r="P4" s="258" t="s">
        <v>31</v>
      </c>
      <c r="Q4" s="258" t="s">
        <v>26</v>
      </c>
      <c r="R4" s="258" t="s">
        <v>27</v>
      </c>
      <c r="S4" s="258" t="s">
        <v>4</v>
      </c>
      <c r="T4" s="258" t="s">
        <v>43</v>
      </c>
      <c r="U4" s="258" t="s">
        <v>44</v>
      </c>
      <c r="V4" s="258" t="s">
        <v>28</v>
      </c>
      <c r="W4" s="258" t="s">
        <v>29</v>
      </c>
    </row>
    <row r="5" spans="2:23" s="9" customFormat="1" ht="15.75" x14ac:dyDescent="0.25">
      <c r="B5" s="18"/>
      <c r="C5" s="18"/>
      <c r="D5" s="18"/>
      <c r="E5" s="18"/>
      <c r="F5" s="18"/>
      <c r="O5" s="259" t="s">
        <v>106</v>
      </c>
      <c r="P5" s="260"/>
      <c r="Q5" s="259" t="str">
        <f>LEFT($O$5,1)&amp;LEFT(B2,1)&amp;EnergyBalance!$C$44</f>
        <v>DROT</v>
      </c>
      <c r="R5" s="259" t="str">
        <f>LEFT($D$2,6)&amp;" "&amp;$C$2&amp; " Sector - "&amp;EnergyBalance!$N$44</f>
        <v>Demand Residential Sector - Other</v>
      </c>
      <c r="S5" s="259" t="str">
        <f>$E$2</f>
        <v>PJ</v>
      </c>
      <c r="T5" s="259"/>
      <c r="U5" s="259"/>
      <c r="V5" s="259"/>
      <c r="W5" s="259"/>
    </row>
    <row r="6" spans="2:23" x14ac:dyDescent="0.2">
      <c r="O6" s="261" t="s">
        <v>144</v>
      </c>
      <c r="P6" s="261"/>
      <c r="Q6" s="261" t="str">
        <f>$B$2&amp;EnergyBalance!$C$52</f>
        <v>RSDCO2</v>
      </c>
      <c r="R6" s="261" t="str">
        <f>$C$2&amp;" "&amp;EnergyBalance!$C$53</f>
        <v>Residential Carbon dioxide</v>
      </c>
      <c r="S6" s="261" t="str">
        <f>EnergyBalance!$S$2</f>
        <v>kt</v>
      </c>
      <c r="T6" s="261"/>
      <c r="U6" s="261"/>
      <c r="V6" s="261"/>
      <c r="W6" s="261"/>
    </row>
    <row r="8" spans="2:23" x14ac:dyDescent="0.2">
      <c r="D8" s="7" t="s">
        <v>13</v>
      </c>
      <c r="E8" s="7"/>
      <c r="F8" s="7"/>
      <c r="H8" s="7"/>
      <c r="I8" s="8"/>
      <c r="J8" s="6"/>
      <c r="K8" s="25"/>
      <c r="O8" s="254" t="s">
        <v>15</v>
      </c>
      <c r="P8" s="254"/>
      <c r="Q8" s="261"/>
      <c r="R8" s="261"/>
      <c r="S8" s="261"/>
      <c r="T8" s="261"/>
      <c r="U8" s="261"/>
      <c r="V8" s="261"/>
      <c r="W8" s="261"/>
    </row>
    <row r="9" spans="2:23" ht="24.6" customHeight="1" x14ac:dyDescent="0.2">
      <c r="B9" s="29" t="s">
        <v>1</v>
      </c>
      <c r="C9" s="29" t="s">
        <v>5</v>
      </c>
      <c r="D9" s="29" t="s">
        <v>6</v>
      </c>
      <c r="E9" s="193" t="s">
        <v>208</v>
      </c>
      <c r="F9" s="193" t="s">
        <v>209</v>
      </c>
      <c r="G9" s="194" t="s">
        <v>109</v>
      </c>
      <c r="H9" s="194" t="s">
        <v>125</v>
      </c>
      <c r="I9" s="194" t="s">
        <v>107</v>
      </c>
      <c r="J9" s="194" t="s">
        <v>108</v>
      </c>
      <c r="K9" s="193" t="s">
        <v>102</v>
      </c>
      <c r="L9" s="193" t="s">
        <v>205</v>
      </c>
      <c r="M9" s="193" t="s">
        <v>130</v>
      </c>
      <c r="O9" s="256" t="s">
        <v>11</v>
      </c>
      <c r="P9" s="257" t="s">
        <v>30</v>
      </c>
      <c r="Q9" s="256" t="s">
        <v>1</v>
      </c>
      <c r="R9" s="256" t="s">
        <v>2</v>
      </c>
      <c r="S9" s="256" t="s">
        <v>16</v>
      </c>
      <c r="T9" s="256" t="s">
        <v>17</v>
      </c>
      <c r="U9" s="256" t="s">
        <v>18</v>
      </c>
      <c r="V9" s="256" t="s">
        <v>19</v>
      </c>
      <c r="W9" s="256" t="s">
        <v>20</v>
      </c>
    </row>
    <row r="10" spans="2:23" ht="23.25" thickBot="1" x14ac:dyDescent="0.25">
      <c r="B10" s="27" t="s">
        <v>42</v>
      </c>
      <c r="C10" s="27" t="s">
        <v>32</v>
      </c>
      <c r="D10" s="27" t="s">
        <v>33</v>
      </c>
      <c r="E10" s="27" t="s">
        <v>34</v>
      </c>
      <c r="F10" s="27" t="s">
        <v>34</v>
      </c>
      <c r="G10" s="27" t="s">
        <v>114</v>
      </c>
      <c r="H10" s="185" t="s">
        <v>126</v>
      </c>
      <c r="I10" s="27" t="s">
        <v>123</v>
      </c>
      <c r="J10" s="27" t="s">
        <v>122</v>
      </c>
      <c r="K10" s="246" t="s">
        <v>216</v>
      </c>
      <c r="L10" s="27"/>
      <c r="M10" s="27" t="s">
        <v>143</v>
      </c>
      <c r="O10" s="258" t="s">
        <v>41</v>
      </c>
      <c r="P10" s="258" t="s">
        <v>31</v>
      </c>
      <c r="Q10" s="258" t="s">
        <v>21</v>
      </c>
      <c r="R10" s="258" t="s">
        <v>22</v>
      </c>
      <c r="S10" s="258" t="s">
        <v>23</v>
      </c>
      <c r="T10" s="258" t="s">
        <v>24</v>
      </c>
      <c r="U10" s="258" t="s">
        <v>46</v>
      </c>
      <c r="V10" s="258" t="s">
        <v>45</v>
      </c>
      <c r="W10" s="258" t="s">
        <v>25</v>
      </c>
    </row>
    <row r="11" spans="2:23" ht="13.5" thickBot="1" x14ac:dyDescent="0.25">
      <c r="B11" s="26" t="s">
        <v>115</v>
      </c>
      <c r="C11" s="26"/>
      <c r="D11" s="26"/>
      <c r="E11" s="24" t="str">
        <f>E2&amp;"a"</f>
        <v>PJa</v>
      </c>
      <c r="F11" s="24" t="str">
        <f>E2&amp;"a"</f>
        <v>PJa</v>
      </c>
      <c r="G11" s="24"/>
      <c r="H11" s="196"/>
      <c r="I11" s="24" t="str">
        <f>$F$2&amp;"/"&amp;$E$2</f>
        <v>M€2005/PJ</v>
      </c>
      <c r="J11" s="24" t="str">
        <f>$F$2&amp;"/"&amp;$E$2&amp;"a"</f>
        <v>M€2005/PJa</v>
      </c>
      <c r="K11" s="24" t="s">
        <v>116</v>
      </c>
      <c r="L11" s="24"/>
      <c r="M11" s="24" t="str">
        <f>EnergyBalance!$S$2</f>
        <v>kt</v>
      </c>
      <c r="O11" s="258" t="s">
        <v>104</v>
      </c>
      <c r="P11" s="258"/>
      <c r="Q11" s="258"/>
      <c r="R11" s="258"/>
      <c r="S11" s="258"/>
      <c r="T11" s="258"/>
      <c r="U11" s="258"/>
      <c r="V11" s="258"/>
      <c r="W11" s="258"/>
    </row>
    <row r="12" spans="2:23" x14ac:dyDescent="0.2">
      <c r="B12" t="str">
        <f>Q12</f>
        <v>ROTEGAS</v>
      </c>
      <c r="C12" t="str">
        <f>$B$2&amp;RIGHT(B12,3)</f>
        <v>RSDGAS</v>
      </c>
      <c r="D12" t="str">
        <f>$Q$5</f>
        <v>DROT</v>
      </c>
      <c r="E12" s="155">
        <f>'EB1'!$E$16/$H$12*1.01</f>
        <v>0</v>
      </c>
      <c r="F12" s="155">
        <f>'EB2'!$E$16/$H$12*1.01</f>
        <v>5485.6746631578944</v>
      </c>
      <c r="G12" s="160">
        <v>1</v>
      </c>
      <c r="H12" s="160">
        <v>0.95</v>
      </c>
      <c r="I12" s="80"/>
      <c r="J12" s="160">
        <f>I12*0.02</f>
        <v>0</v>
      </c>
      <c r="K12" s="80">
        <v>20</v>
      </c>
      <c r="O12" s="259" t="s">
        <v>124</v>
      </c>
      <c r="P12" s="260"/>
      <c r="Q12" s="260" t="str">
        <f>LEFT(EnergyBalance!$B$16)&amp;EnergyBalance!$C$44&amp;$H$2&amp;EnergyBalance!E2</f>
        <v>ROTEGAS</v>
      </c>
      <c r="R12" s="264" t="str">
        <f>$D$2&amp;" "&amp;$C$2&amp; " Sector - "&amp;" "&amp;$H$1&amp;" "&amp;EnergyBalance!$N$44&amp;" - "&amp;EnergyBalance!$E$3</f>
        <v>Demand Technologies Residential Sector -  Existing Other - Natural Gas</v>
      </c>
      <c r="S12" s="260" t="str">
        <f>$E$2</f>
        <v>PJ</v>
      </c>
      <c r="T12" s="260" t="str">
        <f>$E$2&amp;"a"</f>
        <v>PJa</v>
      </c>
      <c r="U12" s="260"/>
      <c r="V12" s="260"/>
      <c r="W12" s="260"/>
    </row>
    <row r="13" spans="2:23" x14ac:dyDescent="0.2">
      <c r="D13" t="str">
        <f>$Q$6</f>
        <v>RSDCO2</v>
      </c>
      <c r="E13" s="14"/>
      <c r="F13" s="14"/>
      <c r="G13" s="28"/>
      <c r="H13" s="28"/>
      <c r="J13" s="28"/>
      <c r="M13" s="80">
        <f>56.1/G12</f>
        <v>56.1</v>
      </c>
      <c r="O13" s="259"/>
      <c r="P13" s="260"/>
      <c r="Q13" s="260" t="str">
        <f>LEFT(EnergyBalance!$B$16)&amp;EnergyBalance!$C$44&amp;$I$2&amp;EnergyBalance!E2</f>
        <v>ROTNGAS</v>
      </c>
      <c r="R13" s="264" t="str">
        <f>$D$2&amp;" "&amp;$C$2&amp; " Sector - "&amp;" "&amp;$I$1&amp;" "&amp;EnergyBalance!$N$44&amp;" - "&amp;EnergyBalance!$E$3</f>
        <v>Demand Technologies Residential Sector -  New Other - Natural Gas</v>
      </c>
      <c r="S13" s="260" t="str">
        <f>$E$2</f>
        <v>PJ</v>
      </c>
      <c r="T13" s="260" t="str">
        <f>$E$2&amp;"a"</f>
        <v>PJa</v>
      </c>
      <c r="U13" s="260"/>
      <c r="V13" s="260"/>
      <c r="W13" s="260"/>
    </row>
    <row r="14" spans="2:23" x14ac:dyDescent="0.2">
      <c r="B14" s="11" t="str">
        <f>Q13</f>
        <v>ROTNGAS</v>
      </c>
      <c r="C14" t="str">
        <f>$B$2&amp;RIGHT(B14,3)</f>
        <v>RSDGAS</v>
      </c>
      <c r="D14" s="11" t="str">
        <f>$Q$5</f>
        <v>DROT</v>
      </c>
      <c r="E14" s="31"/>
      <c r="F14" s="31"/>
      <c r="G14" s="163">
        <v>1.2</v>
      </c>
      <c r="H14" s="163">
        <v>0.95</v>
      </c>
      <c r="I14" s="184">
        <v>12</v>
      </c>
      <c r="J14" s="163">
        <f>I14*0.02</f>
        <v>0.24</v>
      </c>
      <c r="K14" s="184">
        <v>20</v>
      </c>
      <c r="L14" s="164">
        <v>2006</v>
      </c>
      <c r="O14" s="9"/>
      <c r="P14" s="9"/>
      <c r="Q14" s="9"/>
      <c r="R14" s="34"/>
      <c r="S14" s="9"/>
      <c r="T14" s="9"/>
      <c r="U14" s="9"/>
      <c r="V14" s="9"/>
      <c r="W14" s="9"/>
    </row>
    <row r="15" spans="2:23" x14ac:dyDescent="0.2">
      <c r="B15" s="11"/>
      <c r="D15" t="str">
        <f>$Q$6</f>
        <v>RSDCO2</v>
      </c>
      <c r="E15" s="31"/>
      <c r="F15" s="31"/>
      <c r="G15" s="32"/>
      <c r="H15" s="32"/>
      <c r="I15" s="11"/>
      <c r="J15" s="32"/>
      <c r="K15" s="11"/>
      <c r="L15" s="31"/>
      <c r="M15" s="251">
        <f>56.1/G14</f>
        <v>46.75</v>
      </c>
      <c r="O15" s="9"/>
      <c r="P15" s="9"/>
      <c r="Q15" s="9"/>
      <c r="R15" s="34"/>
      <c r="S15" s="9"/>
      <c r="T15" s="9"/>
      <c r="U15" s="9"/>
      <c r="V15" s="9"/>
      <c r="W15" s="9"/>
    </row>
    <row r="16" spans="2:23" x14ac:dyDescent="0.2">
      <c r="O16" s="9"/>
      <c r="P16" s="9"/>
      <c r="Q16" s="9"/>
      <c r="R16" s="9"/>
      <c r="S16" s="9"/>
      <c r="T16" s="9"/>
      <c r="U16" s="9"/>
      <c r="V16" s="9"/>
      <c r="W16" s="9"/>
    </row>
    <row r="17" spans="2:23" x14ac:dyDescent="0.2">
      <c r="O17" s="9"/>
      <c r="P17" s="9"/>
      <c r="Q17" s="9"/>
      <c r="R17" s="9"/>
      <c r="S17" s="9"/>
      <c r="T17" s="9"/>
      <c r="U17" s="9"/>
      <c r="V17" s="9"/>
      <c r="W17" s="9"/>
    </row>
    <row r="18" spans="2:23" x14ac:dyDescent="0.2">
      <c r="I18" s="25"/>
      <c r="O18" s="9"/>
      <c r="P18" s="9"/>
      <c r="Q18" s="9"/>
      <c r="R18" s="9"/>
      <c r="S18" s="9"/>
      <c r="T18" s="9"/>
      <c r="U18" s="9"/>
      <c r="V18" s="9"/>
      <c r="W18" s="9"/>
    </row>
    <row r="19" spans="2:23" x14ac:dyDescent="0.2">
      <c r="I19" s="25"/>
      <c r="O19" s="9"/>
      <c r="P19" s="9"/>
      <c r="Q19" s="9"/>
      <c r="R19" s="9"/>
      <c r="S19" s="9"/>
      <c r="T19" s="9"/>
      <c r="U19" s="9"/>
      <c r="V19" s="9"/>
      <c r="W19" s="9"/>
    </row>
    <row r="20" spans="2:23" x14ac:dyDescent="0.2">
      <c r="O20" s="9"/>
      <c r="P20" s="9"/>
      <c r="Q20" s="9"/>
      <c r="R20" s="9"/>
      <c r="S20" s="9"/>
      <c r="T20" s="9"/>
      <c r="U20" s="9"/>
      <c r="V20" s="9"/>
      <c r="W20" s="9"/>
    </row>
    <row r="21" spans="2:23" x14ac:dyDescent="0.2">
      <c r="O21" s="9"/>
      <c r="P21" s="9"/>
      <c r="Q21" s="9"/>
      <c r="R21" s="9"/>
      <c r="S21" s="9"/>
      <c r="T21" s="9"/>
      <c r="U21" s="9"/>
      <c r="V21" s="9"/>
      <c r="W21" s="9"/>
    </row>
    <row r="22" spans="2:23" x14ac:dyDescent="0.2">
      <c r="O22" s="9"/>
      <c r="P22" s="9"/>
      <c r="Q22" s="9"/>
      <c r="R22" s="9"/>
      <c r="S22" s="9"/>
      <c r="T22" s="9"/>
      <c r="U22" s="9"/>
      <c r="V22" s="9"/>
      <c r="W22" s="9"/>
    </row>
    <row r="23" spans="2:23" x14ac:dyDescent="0.2">
      <c r="B23" s="80"/>
      <c r="C23" s="1" t="s">
        <v>199</v>
      </c>
    </row>
    <row r="24" spans="2:23" x14ac:dyDescent="0.2">
      <c r="B24" s="156"/>
      <c r="C24" s="1" t="s">
        <v>200</v>
      </c>
      <c r="K24" s="1"/>
    </row>
    <row r="25" spans="2:23" x14ac:dyDescent="0.2">
      <c r="K25" s="1"/>
      <c r="L25" s="1"/>
      <c r="M25" s="1"/>
      <c r="N25" s="1"/>
    </row>
    <row r="26" spans="2:23" x14ac:dyDescent="0.2">
      <c r="K26" s="1"/>
      <c r="L26" s="1"/>
      <c r="M26" s="1"/>
      <c r="N26" s="1"/>
    </row>
    <row r="27" spans="2:23" x14ac:dyDescent="0.2">
      <c r="K27" s="1"/>
      <c r="L27" s="1"/>
      <c r="M27" s="1"/>
      <c r="N27" s="1"/>
    </row>
    <row r="28" spans="2:23" x14ac:dyDescent="0.2">
      <c r="L28" s="1"/>
      <c r="M28" s="1"/>
      <c r="N28" s="1"/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8"/>
  <sheetViews>
    <sheetView zoomScale="90" zoomScaleNormal="90" workbookViewId="0">
      <selection activeCell="I12" sqref="I12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6" width="13.7109375" bestFit="1" customWidth="1"/>
    <col min="7" max="7" width="10.28515625" bestFit="1" customWidth="1"/>
    <col min="8" max="8" width="11.7109375" bestFit="1" customWidth="1"/>
    <col min="9" max="9" width="11.5703125" bestFit="1" customWidth="1"/>
    <col min="10" max="10" width="10.28515625" customWidth="1"/>
    <col min="11" max="11" width="8.7109375" customWidth="1"/>
    <col min="12" max="12" width="7" style="57" bestFit="1" customWidth="1"/>
    <col min="13" max="13" width="14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79.140625" bestFit="1" customWidth="1"/>
    <col min="19" max="19" width="6.14062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17" t="s">
        <v>94</v>
      </c>
      <c r="C1" s="17" t="s">
        <v>96</v>
      </c>
      <c r="D1" s="17" t="s">
        <v>153</v>
      </c>
      <c r="E1" s="17" t="s">
        <v>98</v>
      </c>
      <c r="F1" s="17" t="s">
        <v>99</v>
      </c>
      <c r="G1" s="17" t="s">
        <v>193</v>
      </c>
      <c r="H1" s="17" t="s">
        <v>127</v>
      </c>
      <c r="I1" s="17" t="s">
        <v>206</v>
      </c>
    </row>
    <row r="2" spans="2:23" ht="31.5" x14ac:dyDescent="0.25">
      <c r="B2" s="20" t="str">
        <f>EnergyBalance!B20</f>
        <v>TRA</v>
      </c>
      <c r="C2" s="20" t="str">
        <f>EnergyBalance!C20</f>
        <v>Transport</v>
      </c>
      <c r="D2" s="33" t="s">
        <v>154</v>
      </c>
      <c r="E2" s="20" t="str">
        <f>EnergyBalance!R2</f>
        <v>PJ</v>
      </c>
      <c r="F2" s="20" t="str">
        <f>EnergyBalance!Q2</f>
        <v>M€2005</v>
      </c>
      <c r="G2" s="69" t="s">
        <v>194</v>
      </c>
      <c r="H2" s="20" t="s">
        <v>128</v>
      </c>
      <c r="I2" s="20" t="s">
        <v>129</v>
      </c>
      <c r="O2" s="254" t="s">
        <v>14</v>
      </c>
      <c r="P2" s="254"/>
      <c r="Q2" s="255"/>
      <c r="R2" s="255"/>
      <c r="S2" s="255"/>
      <c r="T2" s="255"/>
      <c r="U2" s="255"/>
      <c r="V2" s="255"/>
      <c r="W2" s="255"/>
    </row>
    <row r="3" spans="2:23" x14ac:dyDescent="0.2">
      <c r="O3" s="256" t="s">
        <v>7</v>
      </c>
      <c r="P3" s="257" t="s">
        <v>30</v>
      </c>
      <c r="Q3" s="256" t="s">
        <v>0</v>
      </c>
      <c r="R3" s="256" t="s">
        <v>3</v>
      </c>
      <c r="S3" s="256" t="s">
        <v>4</v>
      </c>
      <c r="T3" s="256" t="s">
        <v>8</v>
      </c>
      <c r="U3" s="256" t="s">
        <v>9</v>
      </c>
      <c r="V3" s="256" t="s">
        <v>10</v>
      </c>
      <c r="W3" s="256" t="s">
        <v>12</v>
      </c>
    </row>
    <row r="4" spans="2:23" s="9" customFormat="1" ht="24" thickBot="1" x14ac:dyDescent="0.3">
      <c r="B4" s="18"/>
      <c r="C4" s="18"/>
      <c r="D4" s="18"/>
      <c r="E4" s="18"/>
      <c r="F4" s="18"/>
      <c r="L4" s="57"/>
      <c r="O4" s="258" t="s">
        <v>40</v>
      </c>
      <c r="P4" s="258" t="s">
        <v>31</v>
      </c>
      <c r="Q4" s="258" t="s">
        <v>26</v>
      </c>
      <c r="R4" s="258" t="s">
        <v>27</v>
      </c>
      <c r="S4" s="258" t="s">
        <v>4</v>
      </c>
      <c r="T4" s="258" t="s">
        <v>43</v>
      </c>
      <c r="U4" s="258" t="s">
        <v>44</v>
      </c>
      <c r="V4" s="258" t="s">
        <v>28</v>
      </c>
      <c r="W4" s="258" t="s">
        <v>29</v>
      </c>
    </row>
    <row r="5" spans="2:23" s="9" customFormat="1" ht="15.75" x14ac:dyDescent="0.25">
      <c r="B5" s="18"/>
      <c r="C5" s="18"/>
      <c r="D5" s="18"/>
      <c r="E5" s="18"/>
      <c r="F5" s="18"/>
      <c r="L5" s="57"/>
      <c r="O5" s="259" t="s">
        <v>106</v>
      </c>
      <c r="P5" s="260"/>
      <c r="Q5" s="259" t="str">
        <f>LEFT($O$5,1)&amp;LEFT($B$2,1)&amp;EnergyBalance!$C$49</f>
        <v>DTD1</v>
      </c>
      <c r="R5" s="259" t="str">
        <f>LEFT($D$2,6)&amp;" "&amp;$C$2&amp; " Sector - "&amp;EnergyBalance!$N$49</f>
        <v>Demand Transport Sector - Demand 1</v>
      </c>
      <c r="S5" s="259" t="str">
        <f>$E$2</f>
        <v>PJ</v>
      </c>
      <c r="T5" s="259"/>
      <c r="U5" s="259"/>
      <c r="V5" s="259"/>
      <c r="W5" s="259"/>
    </row>
    <row r="6" spans="2:23" x14ac:dyDescent="0.2">
      <c r="O6" s="261" t="s">
        <v>144</v>
      </c>
      <c r="P6" s="261"/>
      <c r="Q6" s="261" t="str">
        <f>$B$2&amp;EnergyBalance!$C$52</f>
        <v>TRACO2</v>
      </c>
      <c r="R6" s="261" t="str">
        <f>$C$2&amp;" "&amp;EnergyBalance!$C$53</f>
        <v>Transport Carbon dioxide</v>
      </c>
      <c r="S6" s="261" t="str">
        <f>EnergyBalance!$S$2</f>
        <v>kt</v>
      </c>
      <c r="T6" s="261"/>
      <c r="U6" s="261"/>
      <c r="V6" s="261"/>
      <c r="W6" s="261"/>
    </row>
    <row r="8" spans="2:23" x14ac:dyDescent="0.2">
      <c r="D8" s="7" t="s">
        <v>13</v>
      </c>
      <c r="E8" s="7"/>
      <c r="F8" s="7"/>
      <c r="H8" s="7"/>
      <c r="I8" s="8"/>
      <c r="J8" s="6"/>
      <c r="K8" s="25"/>
      <c r="L8"/>
      <c r="O8" s="254" t="s">
        <v>15</v>
      </c>
      <c r="P8" s="254"/>
      <c r="Q8" s="261"/>
      <c r="R8" s="261"/>
      <c r="S8" s="261"/>
      <c r="T8" s="261"/>
      <c r="U8" s="261"/>
      <c r="V8" s="261"/>
      <c r="W8" s="261"/>
    </row>
    <row r="9" spans="2:23" ht="23.45" customHeight="1" x14ac:dyDescent="0.2">
      <c r="B9" s="29" t="s">
        <v>1</v>
      </c>
      <c r="C9" s="29" t="s">
        <v>5</v>
      </c>
      <c r="D9" s="29" t="s">
        <v>6</v>
      </c>
      <c r="E9" s="193" t="s">
        <v>208</v>
      </c>
      <c r="F9" s="193" t="s">
        <v>209</v>
      </c>
      <c r="G9" s="194" t="s">
        <v>109</v>
      </c>
      <c r="H9" s="194" t="s">
        <v>125</v>
      </c>
      <c r="I9" s="194" t="s">
        <v>107</v>
      </c>
      <c r="J9" s="194" t="s">
        <v>108</v>
      </c>
      <c r="K9" s="193" t="s">
        <v>102</v>
      </c>
      <c r="L9" s="193" t="s">
        <v>205</v>
      </c>
      <c r="M9" s="193" t="s">
        <v>130</v>
      </c>
      <c r="O9" s="256" t="s">
        <v>11</v>
      </c>
      <c r="P9" s="257" t="s">
        <v>30</v>
      </c>
      <c r="Q9" s="256" t="s">
        <v>1</v>
      </c>
      <c r="R9" s="256" t="s">
        <v>2</v>
      </c>
      <c r="S9" s="256" t="s">
        <v>16</v>
      </c>
      <c r="T9" s="256" t="s">
        <v>17</v>
      </c>
      <c r="U9" s="256" t="s">
        <v>18</v>
      </c>
      <c r="V9" s="256" t="s">
        <v>19</v>
      </c>
      <c r="W9" s="256" t="s">
        <v>20</v>
      </c>
    </row>
    <row r="10" spans="2:23" ht="23.25" thickBot="1" x14ac:dyDescent="0.25">
      <c r="B10" s="27" t="s">
        <v>42</v>
      </c>
      <c r="C10" s="27" t="s">
        <v>32</v>
      </c>
      <c r="D10" s="27" t="s">
        <v>33</v>
      </c>
      <c r="E10" s="27" t="s">
        <v>34</v>
      </c>
      <c r="F10" s="27" t="s">
        <v>34</v>
      </c>
      <c r="G10" s="27" t="s">
        <v>114</v>
      </c>
      <c r="H10" s="185" t="s">
        <v>126</v>
      </c>
      <c r="I10" s="27" t="s">
        <v>123</v>
      </c>
      <c r="J10" s="27" t="s">
        <v>122</v>
      </c>
      <c r="K10" s="247" t="s">
        <v>216</v>
      </c>
      <c r="L10" s="27"/>
      <c r="M10" s="27" t="s">
        <v>143</v>
      </c>
      <c r="O10" s="258" t="s">
        <v>41</v>
      </c>
      <c r="P10" s="258" t="s">
        <v>31</v>
      </c>
      <c r="Q10" s="258" t="s">
        <v>21</v>
      </c>
      <c r="R10" s="258" t="s">
        <v>22</v>
      </c>
      <c r="S10" s="258" t="s">
        <v>23</v>
      </c>
      <c r="T10" s="258" t="s">
        <v>24</v>
      </c>
      <c r="U10" s="258" t="s">
        <v>46</v>
      </c>
      <c r="V10" s="258" t="s">
        <v>45</v>
      </c>
      <c r="W10" s="258" t="s">
        <v>25</v>
      </c>
    </row>
    <row r="11" spans="2:23" ht="13.5" thickBot="1" x14ac:dyDescent="0.25">
      <c r="B11" s="26" t="s">
        <v>115</v>
      </c>
      <c r="C11" s="26"/>
      <c r="D11" s="26"/>
      <c r="E11" s="24" t="str">
        <f>E2&amp;"a"</f>
        <v>PJa</v>
      </c>
      <c r="F11" s="24" t="str">
        <f>E2&amp;"a"</f>
        <v>PJa</v>
      </c>
      <c r="G11" s="24"/>
      <c r="H11" s="196"/>
      <c r="I11" s="24" t="str">
        <f>$F$2&amp;"/"&amp;$E$2</f>
        <v>M€2005/PJ</v>
      </c>
      <c r="J11" s="24" t="str">
        <f>$F$2&amp;"/"&amp;$E$2&amp;"a"</f>
        <v>M€2005/PJa</v>
      </c>
      <c r="K11" s="24" t="s">
        <v>116</v>
      </c>
      <c r="L11" s="24"/>
      <c r="M11" s="24" t="str">
        <f>EnergyBalance!$S$2</f>
        <v>kt</v>
      </c>
      <c r="O11" s="259" t="s">
        <v>124</v>
      </c>
      <c r="P11" s="260"/>
      <c r="Q11" s="260" t="str">
        <f>LEFT($B$2)&amp;EnergyBalance!$C$44&amp;$H$2&amp;EnergyBalance!F2</f>
        <v>TOTEOIL</v>
      </c>
      <c r="R11" s="264" t="str">
        <f>$D$2&amp;" "&amp;$C$2&amp; " Sector - "&amp;" "&amp;$H$1&amp;" "&amp;EnergyBalance!$N$40&amp;" - "&amp;EnergyBalance!$F$3</f>
        <v>Demand Technologies Transport Sector -  Existing  - Crude Oil</v>
      </c>
      <c r="S11" s="260" t="str">
        <f>$E$2</f>
        <v>PJ</v>
      </c>
      <c r="T11" s="260" t="str">
        <f>$E$2&amp;"a"</f>
        <v>PJa</v>
      </c>
      <c r="U11" s="260"/>
      <c r="V11" s="260"/>
      <c r="W11" s="260"/>
    </row>
    <row r="12" spans="2:23" x14ac:dyDescent="0.2">
      <c r="B12" t="str">
        <f>Q11</f>
        <v>TOTEOIL</v>
      </c>
      <c r="C12" t="str">
        <f>$B$2&amp;RIGHT(B12,3)</f>
        <v>TRAOIL</v>
      </c>
      <c r="D12" t="str">
        <f>$Q$5</f>
        <v>DTD1</v>
      </c>
      <c r="E12" s="155">
        <f>'EB1'!$F$20/$H$12*1.01</f>
        <v>4999.9204966666657</v>
      </c>
      <c r="F12" s="155">
        <f>'EB2'!$F$20/$H$12*1.01</f>
        <v>11666.481158888888</v>
      </c>
      <c r="G12" s="160">
        <v>1</v>
      </c>
      <c r="H12" s="160">
        <v>0.9</v>
      </c>
      <c r="I12" s="80"/>
      <c r="J12" s="160">
        <f>I12*0.02</f>
        <v>0</v>
      </c>
      <c r="K12" s="80">
        <v>15</v>
      </c>
      <c r="L12"/>
      <c r="O12" s="261"/>
      <c r="P12" s="261"/>
      <c r="Q12" s="260" t="str">
        <f>LEFT($B$2)&amp;EnergyBalance!$C$44&amp;$I$2&amp;EnergyBalance!F2</f>
        <v>TOTNOIL</v>
      </c>
      <c r="R12" s="264" t="str">
        <f>$D$2&amp;" "&amp;$C$2&amp; " Sector - "&amp;" "&amp;$I$1&amp;" "&amp;EnergyBalance!$N$40&amp;" - "&amp;EnergyBalance!$F$3</f>
        <v>Demand Technologies Transport Sector -  New  - Crude Oil</v>
      </c>
      <c r="S12" s="260" t="str">
        <f>$E$2</f>
        <v>PJ</v>
      </c>
      <c r="T12" s="260" t="str">
        <f>$E$2&amp;"a"</f>
        <v>PJa</v>
      </c>
      <c r="U12" s="261"/>
      <c r="V12" s="261"/>
      <c r="W12" s="261"/>
    </row>
    <row r="13" spans="2:23" x14ac:dyDescent="0.2">
      <c r="D13" t="str">
        <f>$Q$6</f>
        <v>TRACO2</v>
      </c>
      <c r="E13" s="14"/>
      <c r="G13" s="28"/>
      <c r="H13" s="28"/>
      <c r="J13" s="28"/>
      <c r="L13"/>
      <c r="M13" s="252">
        <f>65/G12</f>
        <v>65</v>
      </c>
      <c r="O13" s="9"/>
      <c r="P13" s="9"/>
      <c r="Q13" s="9"/>
      <c r="R13" s="34"/>
      <c r="S13" s="16"/>
      <c r="T13" s="16"/>
      <c r="U13" s="9"/>
      <c r="V13" s="16"/>
      <c r="W13" s="9"/>
    </row>
    <row r="14" spans="2:23" x14ac:dyDescent="0.2">
      <c r="B14" s="11" t="str">
        <f>Q12</f>
        <v>TOTNOIL</v>
      </c>
      <c r="C14" t="str">
        <f>$B$2&amp;RIGHT(B14,3)</f>
        <v>TRAOIL</v>
      </c>
      <c r="D14" s="11" t="str">
        <f>$Q$5</f>
        <v>DTD1</v>
      </c>
      <c r="E14" s="31"/>
      <c r="G14" s="163">
        <v>1.1000000000000001</v>
      </c>
      <c r="H14" s="163">
        <v>0.9</v>
      </c>
      <c r="I14" s="184">
        <v>10</v>
      </c>
      <c r="J14" s="163">
        <f>I14*0.02</f>
        <v>0.2</v>
      </c>
      <c r="K14" s="184">
        <v>15</v>
      </c>
      <c r="L14" s="164">
        <v>2006</v>
      </c>
      <c r="O14" s="9"/>
      <c r="P14" s="9"/>
      <c r="Q14" s="9"/>
      <c r="R14" s="34"/>
      <c r="S14" s="16"/>
      <c r="T14" s="16"/>
      <c r="U14" s="9"/>
      <c r="V14" s="16"/>
      <c r="W14" s="9"/>
    </row>
    <row r="15" spans="2:23" x14ac:dyDescent="0.2">
      <c r="B15" s="11"/>
      <c r="D15" t="str">
        <f>$Q$6</f>
        <v>TRACO2</v>
      </c>
      <c r="E15" s="31"/>
      <c r="G15" s="32"/>
      <c r="H15" s="32"/>
      <c r="I15" s="11"/>
      <c r="J15" s="32"/>
      <c r="K15" s="11"/>
      <c r="L15" s="31"/>
      <c r="M15" s="251">
        <f>65/G14</f>
        <v>59.090909090909086</v>
      </c>
      <c r="O15" s="9"/>
      <c r="P15" s="9"/>
      <c r="Q15" s="9"/>
      <c r="R15" s="34"/>
      <c r="S15" s="16"/>
      <c r="T15" s="16"/>
      <c r="U15" s="9"/>
      <c r="V15" s="16"/>
      <c r="W15" s="9"/>
    </row>
    <row r="16" spans="2:23" x14ac:dyDescent="0.2">
      <c r="L16"/>
    </row>
    <row r="17" spans="1:23" x14ac:dyDescent="0.2">
      <c r="L17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">
      <c r="L18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2">
      <c r="L1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">
      <c r="L20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">
      <c r="O21" s="9"/>
      <c r="P21" s="9"/>
      <c r="Q21" s="9"/>
      <c r="R21" s="9"/>
      <c r="S21" s="9"/>
      <c r="T21" s="9"/>
      <c r="U21" s="9"/>
      <c r="V21" s="9"/>
      <c r="W21" s="9"/>
    </row>
    <row r="23" spans="1:23" x14ac:dyDescent="0.2">
      <c r="B23" s="80"/>
      <c r="C23" s="1" t="s">
        <v>199</v>
      </c>
      <c r="K23" s="1"/>
      <c r="L23" s="15"/>
      <c r="M23" s="1"/>
    </row>
    <row r="24" spans="1:23" x14ac:dyDescent="0.2">
      <c r="B24" s="156"/>
      <c r="C24" s="1" t="s">
        <v>200</v>
      </c>
      <c r="K24" s="1"/>
      <c r="L24" s="15"/>
      <c r="M24" s="1"/>
      <c r="N24" s="1"/>
    </row>
    <row r="25" spans="1:23" x14ac:dyDescent="0.2">
      <c r="A25" s="11"/>
      <c r="K25" s="1"/>
      <c r="L25" s="15"/>
      <c r="M25" s="1"/>
      <c r="N25" s="1"/>
    </row>
    <row r="26" spans="1:23" s="11" customFormat="1" x14ac:dyDescent="0.2">
      <c r="A26"/>
      <c r="B26"/>
      <c r="C26"/>
      <c r="D26"/>
      <c r="E26"/>
      <c r="F26"/>
      <c r="G26"/>
      <c r="H26"/>
      <c r="I26"/>
      <c r="J26"/>
      <c r="K26" s="1"/>
      <c r="L26" s="15"/>
      <c r="M26" s="1"/>
      <c r="N26" s="1"/>
      <c r="O26"/>
      <c r="P26"/>
      <c r="Q26"/>
      <c r="R26"/>
      <c r="S26"/>
      <c r="T26"/>
      <c r="U26"/>
      <c r="V26"/>
      <c r="W26"/>
    </row>
    <row r="27" spans="1:23" x14ac:dyDescent="0.2">
      <c r="E27" s="1"/>
      <c r="N27" s="1"/>
    </row>
    <row r="28" spans="1:23" x14ac:dyDescent="0.2">
      <c r="E28" s="1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27"/>
  <sheetViews>
    <sheetView workbookViewId="0">
      <selection activeCell="G39" sqref="G39"/>
    </sheetView>
  </sheetViews>
  <sheetFormatPr defaultRowHeight="12.75" x14ac:dyDescent="0.2"/>
  <cols>
    <col min="1" max="1" width="2" bestFit="1" customWidth="1"/>
    <col min="2" max="2" width="12.5703125" customWidth="1"/>
    <col min="3" max="4" width="13.140625" customWidth="1"/>
    <col min="5" max="5" width="11.7109375" bestFit="1" customWidth="1"/>
    <col min="6" max="6" width="11.28515625" customWidth="1"/>
    <col min="7" max="7" width="13.140625" bestFit="1" customWidth="1"/>
    <col min="8" max="9" width="11.28515625" customWidth="1"/>
    <col min="10" max="10" width="7.28515625" customWidth="1"/>
    <col min="11" max="11" width="2.7109375" customWidth="1"/>
    <col min="12" max="12" width="12.42578125" customWidth="1"/>
    <col min="13" max="13" width="3" customWidth="1"/>
    <col min="14" max="14" width="13.5703125" customWidth="1"/>
    <col min="15" max="15" width="12.85546875" customWidth="1"/>
  </cols>
  <sheetData>
    <row r="1" spans="2:18" ht="15" x14ac:dyDescent="0.25">
      <c r="B1" s="17" t="s">
        <v>94</v>
      </c>
      <c r="C1" s="17" t="s">
        <v>95</v>
      </c>
      <c r="D1" s="17" t="s">
        <v>96</v>
      </c>
      <c r="E1" s="17" t="s">
        <v>98</v>
      </c>
      <c r="G1" s="17" t="s">
        <v>99</v>
      </c>
    </row>
    <row r="2" spans="2:18" ht="15.75" x14ac:dyDescent="0.25">
      <c r="B2" s="20" t="s">
        <v>106</v>
      </c>
      <c r="C2" s="20"/>
      <c r="D2" s="20"/>
      <c r="E2" s="20" t="str">
        <f>EnergyBalance!R2</f>
        <v>PJ</v>
      </c>
      <c r="G2" s="20" t="str">
        <f>EnergyBalance!Q2</f>
        <v>M€2005</v>
      </c>
    </row>
    <row r="5" spans="2:18" x14ac:dyDescent="0.2">
      <c r="D5" s="5" t="s">
        <v>13</v>
      </c>
      <c r="E5" s="5"/>
      <c r="F5" s="1"/>
      <c r="Q5" s="5" t="s">
        <v>13</v>
      </c>
      <c r="R5" s="1"/>
    </row>
    <row r="6" spans="2:18" x14ac:dyDescent="0.2">
      <c r="B6" s="3" t="s">
        <v>30</v>
      </c>
      <c r="C6" s="4" t="s">
        <v>103</v>
      </c>
      <c r="D6" s="4" t="s">
        <v>0</v>
      </c>
      <c r="E6" s="4" t="s">
        <v>195</v>
      </c>
      <c r="F6" s="197">
        <v>2005</v>
      </c>
      <c r="G6" s="197">
        <v>2006</v>
      </c>
      <c r="H6" s="197">
        <v>2010</v>
      </c>
      <c r="I6" s="197">
        <v>2015</v>
      </c>
      <c r="J6" s="197">
        <v>2020</v>
      </c>
      <c r="N6" s="3" t="s">
        <v>30</v>
      </c>
      <c r="O6" s="4" t="s">
        <v>103</v>
      </c>
      <c r="P6" s="4" t="s">
        <v>0</v>
      </c>
      <c r="Q6" s="4" t="s">
        <v>177</v>
      </c>
      <c r="R6" s="4">
        <v>2005</v>
      </c>
    </row>
    <row r="7" spans="2:18" ht="33.75" x14ac:dyDescent="0.2">
      <c r="B7" s="185" t="s">
        <v>31</v>
      </c>
      <c r="C7" s="27" t="s">
        <v>104</v>
      </c>
      <c r="D7" s="27" t="s">
        <v>105</v>
      </c>
      <c r="E7" s="27" t="s">
        <v>196</v>
      </c>
      <c r="F7" s="192" t="s">
        <v>36</v>
      </c>
      <c r="G7" s="192"/>
      <c r="H7" s="192"/>
      <c r="I7" s="192"/>
      <c r="J7" s="192"/>
      <c r="L7" s="168" t="s">
        <v>176</v>
      </c>
      <c r="N7" s="185" t="s">
        <v>31</v>
      </c>
      <c r="O7" s="27" t="s">
        <v>104</v>
      </c>
      <c r="P7" s="27" t="s">
        <v>105</v>
      </c>
      <c r="Q7" s="27"/>
      <c r="R7" s="27"/>
    </row>
    <row r="8" spans="2:18" ht="13.5" thickBot="1" x14ac:dyDescent="0.25">
      <c r="B8" s="186"/>
      <c r="C8" s="26" t="s">
        <v>115</v>
      </c>
      <c r="D8" s="26"/>
      <c r="E8" s="26"/>
      <c r="F8" s="24" t="str">
        <f>E2</f>
        <v>PJ</v>
      </c>
      <c r="G8" s="24"/>
      <c r="H8" s="24"/>
      <c r="I8" s="24"/>
      <c r="J8" s="24"/>
      <c r="L8" s="169"/>
      <c r="N8" s="186"/>
      <c r="O8" s="26" t="s">
        <v>115</v>
      </c>
      <c r="P8" s="26"/>
      <c r="Q8" s="26"/>
      <c r="R8" s="26"/>
    </row>
    <row r="9" spans="2:18" x14ac:dyDescent="0.2">
      <c r="B9" s="187" t="s">
        <v>189</v>
      </c>
      <c r="C9" s="62" t="s">
        <v>35</v>
      </c>
      <c r="D9" s="62" t="str">
        <f>DemTechs_TPS!O5</f>
        <v>TPSCOA</v>
      </c>
      <c r="E9" s="62" t="s">
        <v>97</v>
      </c>
      <c r="F9" s="199">
        <f>'EB1'!$D$24</f>
        <v>3596.8059999999982</v>
      </c>
      <c r="G9" s="200"/>
      <c r="H9" s="200"/>
      <c r="I9" s="200"/>
      <c r="J9" s="200"/>
      <c r="L9" s="162"/>
      <c r="N9" s="1" t="s">
        <v>189</v>
      </c>
      <c r="O9" s="1" t="s">
        <v>178</v>
      </c>
      <c r="P9" s="11" t="str">
        <f>DemTechs_ELC!$O$5</f>
        <v>TPSELC</v>
      </c>
      <c r="Q9" s="60" t="s">
        <v>179</v>
      </c>
      <c r="R9" s="273">
        <v>0.3</v>
      </c>
    </row>
    <row r="10" spans="2:18" x14ac:dyDescent="0.2">
      <c r="B10" s="41" t="s">
        <v>189</v>
      </c>
      <c r="C10" s="11" t="s">
        <v>35</v>
      </c>
      <c r="D10" s="11" t="str">
        <f>DemTechs_RSD!$Q$5</f>
        <v>DROT</v>
      </c>
      <c r="E10" s="41" t="s">
        <v>97</v>
      </c>
      <c r="F10" s="177">
        <f>'EB1'!$E$16</f>
        <v>0</v>
      </c>
      <c r="G10" s="201"/>
      <c r="H10" s="201"/>
      <c r="I10" s="201"/>
      <c r="J10" s="201"/>
      <c r="L10" s="164"/>
      <c r="N10" s="1" t="s">
        <v>189</v>
      </c>
      <c r="O10" s="1" t="s">
        <v>178</v>
      </c>
      <c r="P10" s="11" t="str">
        <f>DemTechs_ELC!$O$5</f>
        <v>TPSELC</v>
      </c>
      <c r="Q10" s="60" t="s">
        <v>180</v>
      </c>
      <c r="R10" s="273">
        <v>0.2</v>
      </c>
    </row>
    <row r="11" spans="2:18" x14ac:dyDescent="0.2">
      <c r="B11" s="41" t="s">
        <v>189</v>
      </c>
      <c r="C11" s="11" t="s">
        <v>35</v>
      </c>
      <c r="D11" s="11" t="str">
        <f>DemTechs_TRA!$Q$5</f>
        <v>DTD1</v>
      </c>
      <c r="E11" s="41" t="s">
        <v>97</v>
      </c>
      <c r="F11" s="177">
        <f>'EB1'!$F$20</f>
        <v>4455.3746999999994</v>
      </c>
      <c r="G11" s="177"/>
      <c r="H11" s="177"/>
      <c r="I11" s="177"/>
      <c r="J11" s="177"/>
      <c r="L11" s="170"/>
      <c r="N11" s="1" t="s">
        <v>189</v>
      </c>
      <c r="O11" s="1" t="s">
        <v>178</v>
      </c>
      <c r="P11" s="11" t="str">
        <f>DemTechs_ELC!$O$5</f>
        <v>TPSELC</v>
      </c>
      <c r="Q11" s="60" t="s">
        <v>181</v>
      </c>
      <c r="R11" s="273">
        <v>0.27</v>
      </c>
    </row>
    <row r="12" spans="2:18" x14ac:dyDescent="0.2">
      <c r="B12" s="63" t="s">
        <v>189</v>
      </c>
      <c r="C12" s="45" t="s">
        <v>35</v>
      </c>
      <c r="D12" s="45" t="str">
        <f>DemTechs_ELC!$O$5</f>
        <v>TPSELC</v>
      </c>
      <c r="E12" s="63" t="s">
        <v>97</v>
      </c>
      <c r="F12" s="202">
        <f>'EB1'!$K$24</f>
        <v>5211.4674999999997</v>
      </c>
      <c r="G12" s="202">
        <f>$F$12*(1+$L$12)^(G6-$F$6)</f>
        <v>5263.5821749999996</v>
      </c>
      <c r="H12" s="202">
        <f>$F$12*(1+$L$12)^(H6-$F$6)</f>
        <v>5477.3047182695209</v>
      </c>
      <c r="I12" s="202">
        <f>$F$12*(1+$L$12)^(I6-$F$6)</f>
        <v>5756.702306361417</v>
      </c>
      <c r="J12" s="202">
        <f>$F$12*(1+$L$12)^(J6-$F$6)</f>
        <v>6050.3519794196973</v>
      </c>
      <c r="L12" s="171">
        <v>0.01</v>
      </c>
      <c r="N12" s="63" t="s">
        <v>189</v>
      </c>
      <c r="O12" s="63" t="s">
        <v>178</v>
      </c>
      <c r="P12" s="45" t="str">
        <f>DemTechs_ELC!$O$5</f>
        <v>TPSELC</v>
      </c>
      <c r="Q12" s="64" t="s">
        <v>182</v>
      </c>
      <c r="R12" s="274">
        <v>0.23</v>
      </c>
    </row>
    <row r="13" spans="2:18" x14ac:dyDescent="0.2">
      <c r="B13" s="41" t="s">
        <v>190</v>
      </c>
      <c r="C13" s="15" t="s">
        <v>35</v>
      </c>
      <c r="D13" s="15" t="str">
        <f>DemTechs_TPS!O5</f>
        <v>TPSCOA</v>
      </c>
      <c r="E13" s="15" t="s">
        <v>97</v>
      </c>
      <c r="F13" s="203">
        <f>'EB2'!$D$24</f>
        <v>0</v>
      </c>
      <c r="G13" s="156"/>
      <c r="H13" s="156"/>
      <c r="I13" s="156"/>
      <c r="J13" s="156"/>
      <c r="L13" s="80"/>
      <c r="N13" s="1" t="s">
        <v>190</v>
      </c>
      <c r="O13" s="1" t="s">
        <v>178</v>
      </c>
      <c r="P13" s="11" t="str">
        <f>DemTechs_ELC!$O$5</f>
        <v>TPSELC</v>
      </c>
      <c r="Q13" s="60" t="s">
        <v>179</v>
      </c>
      <c r="R13" s="157">
        <v>0.34</v>
      </c>
    </row>
    <row r="14" spans="2:18" x14ac:dyDescent="0.2">
      <c r="B14" s="41" t="s">
        <v>190</v>
      </c>
      <c r="C14" s="11" t="s">
        <v>35</v>
      </c>
      <c r="D14" s="11" t="str">
        <f>DemTechs_RSD!$Q$5</f>
        <v>DROT</v>
      </c>
      <c r="E14" s="41" t="s">
        <v>97</v>
      </c>
      <c r="F14" s="177">
        <f>'EB2'!$E$16</f>
        <v>5159.7929999999997</v>
      </c>
      <c r="G14" s="156"/>
      <c r="H14" s="156"/>
      <c r="I14" s="156"/>
      <c r="J14" s="156"/>
      <c r="L14" s="80"/>
      <c r="N14" s="1" t="s">
        <v>190</v>
      </c>
      <c r="O14" s="1" t="s">
        <v>178</v>
      </c>
      <c r="P14" s="11" t="str">
        <f>DemTechs_ELC!$O$5</f>
        <v>TPSELC</v>
      </c>
      <c r="Q14" s="60" t="s">
        <v>180</v>
      </c>
      <c r="R14" s="157">
        <v>0.15</v>
      </c>
    </row>
    <row r="15" spans="2:18" x14ac:dyDescent="0.2">
      <c r="B15" s="41" t="s">
        <v>190</v>
      </c>
      <c r="C15" s="11" t="s">
        <v>35</v>
      </c>
      <c r="D15" s="11" t="str">
        <f>DemTechs_TRA!$Q$5</f>
        <v>DTD1</v>
      </c>
      <c r="E15" s="41" t="s">
        <v>97</v>
      </c>
      <c r="F15" s="177">
        <f>'EB2'!$F$20</f>
        <v>10395.874299999999</v>
      </c>
      <c r="G15" s="156"/>
      <c r="H15" s="156"/>
      <c r="I15" s="156"/>
      <c r="J15" s="156"/>
      <c r="L15" s="80"/>
      <c r="N15" s="1" t="s">
        <v>190</v>
      </c>
      <c r="O15" s="1" t="s">
        <v>178</v>
      </c>
      <c r="P15" s="11" t="str">
        <f>DemTechs_ELC!$O$5</f>
        <v>TPSELC</v>
      </c>
      <c r="Q15" s="60" t="s">
        <v>181</v>
      </c>
      <c r="R15" s="157">
        <v>0.27</v>
      </c>
    </row>
    <row r="16" spans="2:18" x14ac:dyDescent="0.2">
      <c r="B16" s="63" t="s">
        <v>190</v>
      </c>
      <c r="C16" s="45" t="s">
        <v>35</v>
      </c>
      <c r="D16" s="45" t="str">
        <f>DemTechs_ELC!$O$5</f>
        <v>TPSELC</v>
      </c>
      <c r="E16" s="63" t="s">
        <v>97</v>
      </c>
      <c r="F16" s="202">
        <f>'EB2'!$K$24</f>
        <v>5211.4674999999997</v>
      </c>
      <c r="G16" s="202">
        <f>$F$16*(1+$L$16)^(G6-$F$6)</f>
        <v>5315.6968500000003</v>
      </c>
      <c r="H16" s="202">
        <f>$F$16*(1+$L$16)^(H6-$F$6)</f>
        <v>5753.8812232506962</v>
      </c>
      <c r="I16" s="202">
        <f>$F$16*(1+$L$16)^(I6-$F$6)</f>
        <v>6352.7498024840261</v>
      </c>
      <c r="J16" s="202">
        <f>$F$16*(1+$L$16)^(J6-$F$6)</f>
        <v>7013.9491044552033</v>
      </c>
      <c r="L16" s="198">
        <v>0.02</v>
      </c>
      <c r="N16" s="63" t="s">
        <v>190</v>
      </c>
      <c r="O16" s="63" t="s">
        <v>178</v>
      </c>
      <c r="P16" s="45" t="str">
        <f>DemTechs_ELC!$O$5</f>
        <v>TPSELC</v>
      </c>
      <c r="Q16" s="64" t="s">
        <v>182</v>
      </c>
      <c r="R16" s="167">
        <v>0.24</v>
      </c>
    </row>
    <row r="17" spans="2:5" x14ac:dyDescent="0.2">
      <c r="E17" s="55"/>
    </row>
    <row r="18" spans="2:5" x14ac:dyDescent="0.2">
      <c r="E18" s="14"/>
    </row>
    <row r="20" spans="2:5" x14ac:dyDescent="0.2">
      <c r="E20" s="14"/>
    </row>
    <row r="26" spans="2:5" x14ac:dyDescent="0.2">
      <c r="B26" s="80"/>
      <c r="C26" s="1" t="s">
        <v>199</v>
      </c>
    </row>
    <row r="27" spans="2:5" x14ac:dyDescent="0.2">
      <c r="B27" s="156"/>
      <c r="C27" s="1" t="s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EnergyBalance</vt:lpstr>
      <vt:lpstr>EB1</vt:lpstr>
      <vt:lpstr>EB2</vt:lpstr>
      <vt:lpstr>RES&amp;OBJ</vt:lpstr>
      <vt:lpstr>Pri_COA</vt:lpstr>
      <vt:lpstr>Pri_GAS</vt:lpstr>
      <vt:lpstr>Pri_OIL</vt:lpstr>
      <vt:lpstr>Pri_RNW</vt:lpstr>
      <vt:lpstr>Pri_NUC</vt:lpstr>
      <vt:lpstr>Sector_Fuels</vt:lpstr>
      <vt:lpstr>Con_ELC</vt:lpstr>
      <vt:lpstr>DemTechs_TPS</vt:lpstr>
      <vt:lpstr>DemTechs_ELC</vt:lpstr>
      <vt:lpstr>DemTechs_RSD</vt:lpstr>
      <vt:lpstr>DemTechs_TRA</vt:lpstr>
      <vt:lpstr>Demands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Maurizio Gargiulo</cp:lastModifiedBy>
  <cp:lastPrinted>2004-11-16T14:57:57Z</cp:lastPrinted>
  <dcterms:created xsi:type="dcterms:W3CDTF">2000-12-13T15:53:11Z</dcterms:created>
  <dcterms:modified xsi:type="dcterms:W3CDTF">2020-10-12T14:53:47Z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148692190647125</vt:r8>
  </property>
</Properties>
</file>